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560" windowHeight="13080" firstSheet="3" activeTab="8"/>
  </bookViews>
  <sheets>
    <sheet name="00 Index" sheetId="1" r:id="rId1"/>
    <sheet name="01 Snapshot" sheetId="2" r:id="rId2"/>
    <sheet name="02 Trade finance trend" sheetId="3" r:id="rId3"/>
    <sheet name="03 Lenders 2024" sheetId="4" r:id="rId4"/>
    <sheet name="04 Sources" sheetId="5" r:id="rId5"/>
    <sheet name="A HKMA 1.2" sheetId="6" r:id="rId6"/>
    <sheet name="A HKMA 3.4.1" sheetId="7" r:id="rId7"/>
    <sheet name="A HKMA 3.5.1" sheetId="8" r:id="rId8"/>
    <sheet name="Summary" sheetId="9" r:id="rId9"/>
  </sheets>
  <externalReferences>
    <externalReference r:id="rId10"/>
    <externalReference r:id="rId11"/>
    <externalReference r:id="rId12"/>
  </externalReferences>
  <definedNames>
    <definedName name="_xlnm._FilterDatabase" localSheetId="5" hidden="1">'A HKMA 1.2'!$A$4:$E$24</definedName>
    <definedName name="_xlnm._FilterDatabase" localSheetId="6" hidden="1">'A HKMA 3.4.1'!$A$4:$K$96</definedName>
    <definedName name="_xlnm._FilterDatabase" localSheetId="7" hidden="1">'A HKMA 3.5.1'!$A$5:$L$12</definedName>
    <definedName name="_xlnm.Print_Titles" localSheetId="0">'00 Index'!$1:$7</definedName>
    <definedName name="_xlnm.Print_Titles" localSheetId="1">'01 Snapshot'!$1:$5</definedName>
    <definedName name="_xlnm.Print_Area" localSheetId="1">'01 Snapshot'!$A$1:$I$30</definedName>
    <definedName name="_xlnm.Print_Titles" localSheetId="2">'02 Trade finance trend'!$1:$5</definedName>
    <definedName name="_xlnm.Print_Area" localSheetId="2">'02 Trade finance trend'!$A$1:$H$29</definedName>
    <definedName name="_xlnm.Print_Titles" localSheetId="3">'03 Lenders 2024'!$1:$5</definedName>
    <definedName name="_xlnm.Print_Area" localSheetId="3">'03 Lenders 2024'!$A$1:$G$38</definedName>
    <definedName name="_xlnm.Print_Titles" localSheetId="4">'04 Sources'!$1:$4</definedName>
    <definedName name="_xlnm.Print_Area" localSheetId="4">'04 Sources'!$A$1:$E$12</definedName>
    <definedName name="_xlnm.Print_Titles" localSheetId="5">'A HKMA 1.2'!$1:$4</definedName>
    <definedName name="_xlnm.Print_Titles" localSheetId="6">'A HKMA 3.4.1'!$1:$4</definedName>
    <definedName name="_xlnm.Print_Titles" localSheetId="7">'A HKMA 3.5.1'!$1:$4</definedName>
    <definedName name="__gdp2">#REF!</definedName>
    <definedName name="__nlp2">#REF!</definedName>
    <definedName name="__Old3">'[1]T103'!#REF!</definedName>
    <definedName name="__Old4">'[1]T208'!#REF!</definedName>
    <definedName name="__Old5">'[1]T208'!#REF!</definedName>
    <definedName name="__Old6">'[1]T208'!#REF!</definedName>
    <definedName name="__Old7">'[1]T208'!#REF!</definedName>
    <definedName name="__old8">'[1]T208'!#REF!</definedName>
    <definedName name="_gdp2">#REF!</definedName>
    <definedName name="_nlp2">#REF!</definedName>
    <definedName name="_PMI2">#REF!</definedName>
    <definedName name="bad_debt">#REF!</definedName>
    <definedName name="bankruptcy">#REF!</definedName>
    <definedName name="BoxPlot">"BoxPlot"</definedName>
    <definedName name="Bubble">"Bubble"</definedName>
    <definedName name="buy_rent_gap">#REF!</definedName>
    <definedName name="CAB">#REF!</definedName>
    <definedName name="Candlestick">"Candlestick"</definedName>
    <definedName name="car">#REF!</definedName>
    <definedName name="Chart">"Chart"</definedName>
    <definedName name="ChartImage">"ChartImage"</definedName>
    <definedName name="CMTH5">'[1]T208'!#REF!</definedName>
    <definedName name="CMTH6">'[1]T208'!#REF!</definedName>
    <definedName name="CMTH7">'[1]T208'!#REF!</definedName>
    <definedName name="ColumnRange">"ColumnRange"</definedName>
    <definedName name="cpi">#REF!</definedName>
    <definedName name="DATA">'[1]T5011'!#REF!</definedName>
    <definedName name="DATA1">'[1]T502'!#REF!</definedName>
    <definedName name="DATA2">'[1]T502'!#REF!</definedName>
    <definedName name="deposits">#REF!</definedName>
    <definedName name="Dumbbell">"Dumbbell"</definedName>
    <definedName name="equity">#REF!</definedName>
    <definedName name="fiscal">#REF!</definedName>
    <definedName name="fwd">#REF!</definedName>
    <definedName name="gdp">#REF!</definedName>
    <definedName name="Heatmap">"Heatmap"</definedName>
    <definedName name="Histogram">"Histogram"</definedName>
    <definedName name="insert">[2]!insert</definedName>
    <definedName name="intere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abour">#REF!</definedName>
    <definedName name="loan">#REF!</definedName>
    <definedName name="loans">#REF!</definedName>
    <definedName name="LTD">#REF!</definedName>
    <definedName name="Map">"Map"</definedName>
    <definedName name="mci">#REF!</definedName>
    <definedName name="money">#REF!</definedName>
    <definedName name="Month_date">'[1]T305'!#REF!</definedName>
    <definedName name="NIM">#REF!</definedName>
    <definedName name="npl">#REF!</definedName>
    <definedName name="OHLC">"OHLC"</definedName>
    <definedName name="OLD">#REF!</definedName>
    <definedName name="PieChart">"PieChart"</definedName>
    <definedName name="pmi">#REF!</definedName>
    <definedName name="PMTHO">'[1]T208'!#REF!</definedName>
    <definedName name="property">#REF!</definedName>
    <definedName name="Quarter_date">'[1]T305'!#REF!</definedName>
    <definedName name="reserves">#REF!</definedName>
    <definedName name="retail">#REF!</definedName>
    <definedName name="S_and_P">#REF!</definedName>
    <definedName name="Scatter">"Scatter"</definedName>
    <definedName name="Series">"Series"</definedName>
    <definedName name="Stripe">"Stripe"</definedName>
    <definedName name="Table">"Table"</definedName>
    <definedName name="trade">#REF!</definedName>
    <definedName name="trade2">#REF!</definedName>
    <definedName name="TreeMap">"TreeMap"</definedName>
    <definedName name="vmonth">'[1]T102'!#REF!</definedName>
    <definedName name="Waterfall">"Waterfall"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<sst xmlns="http://schemas.openxmlformats.org/spreadsheetml/2006/main" count="768" uniqueCount="566">
  <si>
    <t>Hong Kong Loan Composition — Data Workbook</t>
  </si>
  <si>
    <t>香港贷款结构数据簿　｜　aligned to HK_Loan_Composition_Report_EN.html</t>
  </si>
  <si>
    <t>As-of: HKMA end-June 2026 (headline)　｜　KPMG lender ranking: 2024　｜　Unit: HK$ million unless noted　｜　Rebuilt 2026-10-02</t>
  </si>
  <si>
    <t>#</t>
  </si>
  <si>
    <t>Sheet</t>
  </si>
  <si>
    <t>报表对应</t>
  </si>
  <si>
    <t>What it holds / 内容</t>
  </si>
  <si>
    <t>Kept because</t>
  </si>
  <si>
    <t>Source</t>
  </si>
  <si>
    <t>01 Snapshot</t>
  </si>
  <si>
    <t>Headline KPIs + composition table</t>
  </si>
  <si>
    <t>Total / in-HK / outside-HK; property*, trade finance, manufacturing, wholesale &amp; retail; other-in-HK selected items</t>
  </si>
  <si>
    <t>HTML slide 1</t>
  </si>
  <si>
    <t>HKMA 1.2 + 3.4.1 + 3.5.1</t>
  </si>
  <si>
    <t>02 Trade finance trend</t>
  </si>
  <si>
    <t>Trade-financing time series</t>
  </si>
  <si>
    <t>Dec-2021 … Jun-2026 seven points used in the report, plus HKD / FC mix (84% FX at Jun-2026)</t>
  </si>
  <si>
    <t>HTML slide 2</t>
  </si>
  <si>
    <t>HKMA 3.4.1</t>
  </si>
  <si>
    <t>03 Lenders 2024</t>
  </si>
  <si>
    <t>Top 10 + concentration</t>
  </si>
  <si>
    <t>Top 10 names/shares; Top 10 76% / 11–20 14% / Other 10%; 11–20 kept as supporting rows</t>
  </si>
  <si>
    <t>HTML slide 3</t>
  </si>
  <si>
    <t>KPMG 2024</t>
  </si>
  <si>
    <t>04 Sources</t>
  </si>
  <si>
    <t>Footnotes / sources</t>
  </si>
  <si>
    <t>Official HKMA Monthly Statistical Bulletin tables + KPMG landscape only</t>
  </si>
  <si>
    <t>HTML footnotes</t>
  </si>
  <si>
    <t>HKMA / KPMG</t>
  </si>
  <si>
    <t>A HKMA 1.2</t>
  </si>
  <si>
    <t>Appendix — banking aggregates</t>
  </si>
  <si>
    <t>Loans for use in HK / outside HK / total only (deposits, NPL, assets dropped)</t>
  </si>
  <si>
    <t>Feeds Snapshot KPIs</t>
  </si>
  <si>
    <t>HKMA Table 1.2</t>
  </si>
  <si>
    <t>A HKMA 3.4.1</t>
  </si>
  <si>
    <t>Appendix — loans by type</t>
  </si>
  <si>
    <t>Hong Kong goods trade finance + offshore merchandising; HKD / FC split</t>
  </si>
  <si>
    <t>Feeds TF stock &amp; FX share</t>
  </si>
  <si>
    <t>HKMA Table 3.4.1</t>
  </si>
  <si>
    <t>A HKMA 3.5.1</t>
  </si>
  <si>
    <t>Appendix — use in HK by sector</t>
  </si>
  <si>
    <t>Only sectors cited in the report (property, manufacturing, W&amp;R, financial, personal, transport, IT, electricity &amp; gas)</t>
  </si>
  <si>
    <t>Feeds composition</t>
  </si>
  <si>
    <t>HKMA Table 3.5.1</t>
  </si>
  <si>
    <t>Removed from the previous workbook / 已删除</t>
  </si>
  <si>
    <t>Old sheet / table</t>
  </si>
  <si>
    <t>Why removed / 删除原因</t>
  </si>
  <si>
    <t>Chart</t>
  </si>
  <si>
    <t>Empty sheet; no series, no chart object used by the HTML report.</t>
  </si>
  <si>
    <t>3.13.1 Mainland-related lending</t>
  </si>
  <si>
    <t>Not cited in the loan-composition report.</t>
  </si>
  <si>
    <t>Economics Sectors(integrate)</t>
  </si>
  <si>
    <t>2003– quarterly history; report only uses Dec-2021…Jun-2026 TF points already in 3.4.1.</t>
  </si>
  <si>
    <t>Summary — manufacturing / agriculture / transport / utilities sub-tree</t>
  </si>
  <si>
    <t>HTML does not publish textiles, fisheries, taxis, HOS flats, etc.</t>
  </si>
  <si>
    <t>Data Source — C&amp;SD / TID / TDC trade links</t>
  </si>
  <si>
    <t>Leftover from the goods-trade workbook; not a source for this slide.</t>
  </si>
  <si>
    <t>1.2 unused columns</t>
  </si>
  <si>
    <t>Deposits, external claims, classified loans, mortgage delinquency, card charge-off dropped.</t>
  </si>
  <si>
    <t>3.5.1 unused columns</t>
  </si>
  <si>
    <t>All sector sub-rows not named on the slide dropped.</t>
  </si>
  <si>
    <t>KPMG slide OCR dump</t>
  </si>
  <si>
    <t>Full page-22 transcription removed; definition + source kept on 03 / 04.</t>
  </si>
  <si>
    <t>Backup of the file before this rebuild: financial_datasummit_backup_20261002.xlsx (same folder). An earlier copy also exists as financial_datasummit_backup_original.xlsx. Numbers on 01 / 02 are Excel formulas pointing at the appendix sheets — do not overwrite appendix period keys.</t>
  </si>
  <si>
    <t>01  Headline snapshot &amp; loan composition</t>
  </si>
  <si>
    <t>Report date: end-June 2026 vs end-June 2025. Amounts in HK$ million. Shares of total loans (Table 1.2). YoY and share-ppt change are formulas.</t>
  </si>
  <si>
    <t>A. Headline KPIs</t>
  </si>
  <si>
    <t>Item</t>
  </si>
  <si>
    <t>项目</t>
  </si>
  <si>
    <t>Jun-2026</t>
  </si>
  <si>
    <t>Share of total</t>
  </si>
  <si>
    <t>YoY</t>
  </si>
  <si>
    <t>Jun-2025</t>
  </si>
  <si>
    <t>Source table</t>
  </si>
  <si>
    <t>Note</t>
  </si>
  <si>
    <t>Total loans and advances</t>
  </si>
  <si>
    <t>贷款及垫款总额</t>
  </si>
  <si>
    <t>HKMA 1.2</t>
  </si>
  <si>
    <t>HTML: HK$10.79 tn  +6.2%</t>
  </si>
  <si>
    <t>Loans for use in Hong Kong</t>
  </si>
  <si>
    <t>在香港使用的贷款</t>
  </si>
  <si>
    <t>HTML: 75.0%   HK$8.10 tn  +5.8%</t>
  </si>
  <si>
    <t>Loans for use outside Hong Kong</t>
  </si>
  <si>
    <t>在香港以外使用的贷款</t>
  </si>
  <si>
    <t>HTML: 25.0%   HK$2.69 tn  +7.4%</t>
  </si>
  <si>
    <t>B. Composition — segments shown on the slide</t>
  </si>
  <si>
    <t>Segment</t>
  </si>
  <si>
    <t>分项</t>
  </si>
  <si>
    <t>Share ppt chg</t>
  </si>
  <si>
    <t>Construction / 构成</t>
  </si>
  <si>
    <t>Property lending*</t>
  </si>
  <si>
    <t>物业相关贷款*</t>
  </si>
  <si>
    <t>Development &amp; investment + purchase of other residential</t>
  </si>
  <si>
    <t>HKMA 3.5.1</t>
  </si>
  <si>
    <t xml:space="preserve">    of which: property development &amp; investment</t>
  </si>
  <si>
    <t>　　其中：物业发展及投资</t>
  </si>
  <si>
    <t>HTML: HK$1,314 bn   12.2%   −9.1%</t>
  </si>
  <si>
    <t xml:space="preserve">    of which: purchase of other residential property</t>
  </si>
  <si>
    <t>　　其中：购买其他住宅楼宇</t>
  </si>
  <si>
    <t>HTML: HK$1,958 bn   18.2%   +3.7%</t>
  </si>
  <si>
    <t>Trade financing</t>
  </si>
  <si>
    <t>贸易融资</t>
  </si>
  <si>
    <t>HK goods TF + offshore merchandising</t>
  </si>
  <si>
    <t>Manufacturing</t>
  </si>
  <si>
    <t>制造业</t>
  </si>
  <si>
    <t>Table 3.5.1 manufacturing total (sub-industries not shown)</t>
  </si>
  <si>
    <t>Wholesale and retail trade</t>
  </si>
  <si>
    <t>批发及零售业</t>
  </si>
  <si>
    <t/>
  </si>
  <si>
    <t>Other uses in Hong Kong (residual)</t>
  </si>
  <si>
    <t>在港其他用途（残差）</t>
  </si>
  <si>
    <t>HTML: 34.4% — residual after property / TF / mfg / W&amp;R</t>
  </si>
  <si>
    <t>Derived</t>
  </si>
  <si>
    <t>C. Selected items inside “other uses in HK”</t>
  </si>
  <si>
    <t>HTML readout</t>
  </si>
  <si>
    <t>Financial concerns</t>
  </si>
  <si>
    <t>与财务及金融有关公司</t>
  </si>
  <si>
    <t>9.6%</t>
  </si>
  <si>
    <t>Other private purposes (personal)</t>
  </si>
  <si>
    <t>其他私人用途</t>
  </si>
  <si>
    <t>7.4%</t>
  </si>
  <si>
    <t>Transport and transport equipment</t>
  </si>
  <si>
    <t>运输及运输设备</t>
  </si>
  <si>
    <t>3.1%</t>
  </si>
  <si>
    <t>Information technology</t>
  </si>
  <si>
    <t>资讯科技</t>
  </si>
  <si>
    <t>2.1%</t>
  </si>
  <si>
    <t>Electricity and gas</t>
  </si>
  <si>
    <t>电力及气体燃料</t>
  </si>
  <si>
    <t>2.0%</t>
  </si>
  <si>
    <t>* Property lending = loans for property development and investment + loans for the purchase of other residential property. Excludes loans for the purchase of Home Ownership Scheme / Private Sector Participation Scheme / Tenants Purchase Scheme flats. Table 3.5.1 classifies loans by economic use and excludes trade-financing loans; trade financing is taken from Table 3.4.1. Almost all trade-financing stock sits inside Table 1.2 “loans for use in Hong Kong”, so the residual “other uses in HK” is in-HK minus property* minus manufacturing minus wholesale &amp; retail minus trade financing.</t>
  </si>
  <si>
    <t>02  Trade-financing stock — report series</t>
  </si>
  <si>
    <t>Seven period-ends published on the HTML slide. Amounts in HK$ million. FX share at end-June 2026 is the FC portion of Table 3.4.1 trade finance.</t>
  </si>
  <si>
    <t>A. Periods used in the report</t>
  </si>
  <si>
    <t>Period</t>
  </si>
  <si>
    <t>HK goods trade finance</t>
  </si>
  <si>
    <t>Offshore merchandising</t>
  </si>
  <si>
    <t>Trade finance total</t>
  </si>
  <si>
    <t>of which HKD</t>
  </si>
  <si>
    <t>of which FC</t>
  </si>
  <si>
    <t>FC share</t>
  </si>
  <si>
    <t>HTML readout (HK$ bn)</t>
  </si>
  <si>
    <t>2021-12</t>
  </si>
  <si>
    <t>485</t>
  </si>
  <si>
    <t>2022-12</t>
  </si>
  <si>
    <t>420</t>
  </si>
  <si>
    <t>2023-12</t>
  </si>
  <si>
    <t>365</t>
  </si>
  <si>
    <t>2024-12</t>
  </si>
  <si>
    <t>381</t>
  </si>
  <si>
    <t>2025-06</t>
  </si>
  <si>
    <t>376</t>
  </si>
  <si>
    <t>2025-12</t>
  </si>
  <si>
    <t>391</t>
  </si>
  <si>
    <t>2026-06</t>
  </si>
  <si>
    <t>436</t>
  </si>
  <si>
    <t>B. Currency mix at end-June 2026 (HTML: about 84% foreign-currency)</t>
  </si>
  <si>
    <t>Monthly history for 2018-12 to 2026-07 is on sheet A HKMA 3.4.1. KPMG’s 2024 market total of HK$500.9 billion is a lender-side ranking and is not comparable with the HKMA 3.4.1 stock (HK$381 billion at end-December 2024).</t>
  </si>
  <si>
    <t>03  Hong Kong trade-finance lenders, 2024</t>
  </si>
  <si>
    <t>KPMG: 77 authorized institutions and local representative offices; advances of HK$500.9 billion. Parent groups aggregated (e.g. DBS Bank (Hong Kong) + DBS Bank Ltd. = DBS Bank). Unit: HK$ billion.</t>
  </si>
  <si>
    <t>KPMG market total HK$ bn</t>
  </si>
  <si>
    <t>A. Top 10 (shown on the slide)</t>
  </si>
  <si>
    <t>Rank</t>
  </si>
  <si>
    <t>Institution (EN)</t>
  </si>
  <si>
    <t>机构（中文）</t>
  </si>
  <si>
    <t>Advances (HK$ bn)</t>
  </si>
  <si>
    <t>Share of market</t>
  </si>
  <si>
    <t>Band</t>
  </si>
  <si>
    <t>HTML share</t>
  </si>
  <si>
    <t>HSBC</t>
  </si>
  <si>
    <t>汇丰银行</t>
  </si>
  <si>
    <t>Top 10</t>
  </si>
  <si>
    <t>30.6%</t>
  </si>
  <si>
    <t>Standard Chartered Bank</t>
  </si>
  <si>
    <t>渣打银行</t>
  </si>
  <si>
    <t>12.7%</t>
  </si>
  <si>
    <t>Bank of China</t>
  </si>
  <si>
    <t>中国银行</t>
  </si>
  <si>
    <t>9.4%</t>
  </si>
  <si>
    <t>Hang Seng Bank</t>
  </si>
  <si>
    <t>恒生银行</t>
  </si>
  <si>
    <t>6.1%</t>
  </si>
  <si>
    <t>DBS Bank</t>
  </si>
  <si>
    <t>星展银行</t>
  </si>
  <si>
    <t>5.6%</t>
  </si>
  <si>
    <t>United Overseas Bank</t>
  </si>
  <si>
    <t>大华银行</t>
  </si>
  <si>
    <t>3.4%</t>
  </si>
  <si>
    <t>Banco Santander, S.A.</t>
  </si>
  <si>
    <t>桑坦德银行</t>
  </si>
  <si>
    <t>2.2%</t>
  </si>
  <si>
    <t>Banco Bilbao Vizcaya Argentaria S.A.</t>
  </si>
  <si>
    <t>西班牙对外银行（BBVA）</t>
  </si>
  <si>
    <t>BNP Paribas</t>
  </si>
  <si>
    <t>法国巴黎银行</t>
  </si>
  <si>
    <t>ICBC</t>
  </si>
  <si>
    <t>中国工商银行</t>
  </si>
  <si>
    <t>1.9%</t>
  </si>
  <si>
    <t>Citibank</t>
  </si>
  <si>
    <t>花旗银行</t>
  </si>
  <si>
    <t>11–20</t>
  </si>
  <si>
    <t>Deutsche Bank Aktiengesellschaft</t>
  </si>
  <si>
    <t>德意志银行</t>
  </si>
  <si>
    <t>Nanyang Commercial Bank</t>
  </si>
  <si>
    <t>南洋商业银行</t>
  </si>
  <si>
    <t>Shanghai Commercial Bank</t>
  </si>
  <si>
    <t>上海商业银行</t>
  </si>
  <si>
    <t>China Citic</t>
  </si>
  <si>
    <t>中信银行</t>
  </si>
  <si>
    <t>Bank of East Asia</t>
  </si>
  <si>
    <t>东亚银行</t>
  </si>
  <si>
    <t>OCBC Bank</t>
  </si>
  <si>
    <t>华侨银行</t>
  </si>
  <si>
    <t>Bank of America National Association</t>
  </si>
  <si>
    <t>美国银行</t>
  </si>
  <si>
    <t>Dah Sing Bank</t>
  </si>
  <si>
    <t>大新银行</t>
  </si>
  <si>
    <t>Fubon</t>
  </si>
  <si>
    <t>富邦银行</t>
  </si>
  <si>
    <t>—</t>
  </si>
  <si>
    <t>Others</t>
  </si>
  <si>
    <t>其他</t>
  </si>
  <si>
    <t>Other</t>
  </si>
  <si>
    <t>10%</t>
  </si>
  <si>
    <t>B. Concentration bands (HTML: Top 10 76% · 11–20 14% · Other 10%)</t>
  </si>
  <si>
    <t>HTML</t>
  </si>
  <si>
    <t>76%</t>
  </si>
  <si>
    <t>14%</t>
  </si>
  <si>
    <t>Total</t>
  </si>
  <si>
    <t>Ranks 11–20 are not listed on the HTML slide but are retained here because they support the 14% band. Shares are computed on the KPMG market total of HK$500.9 billion (cell Z1). This lender-side stock is not comparable with the HKMA Table 3.4.1 trade-finance stock (HK$381 billion at end-December 2024; HK$436 billion at end-June 2026). Source: company financial disclosures, HKMA, KPMG analysis.</t>
  </si>
  <si>
    <t>04  Sources</t>
  </si>
  <si>
    <t>Only sources used by HK_Loan_Composition_Report_EN.html. Trade-statistics leftovers (C&amp;SD / TID / TDC) and HKMA 3.13.1 have been dropped.</t>
  </si>
  <si>
    <t>Table / item</t>
  </si>
  <si>
    <t>Description</t>
  </si>
  <si>
    <t>Link</t>
  </si>
  <si>
    <t>Used on</t>
  </si>
  <si>
    <t>Monthly Statistical Bulletin — banking statistics (loans for use in / outside Hong Kong, total loans)</t>
  </si>
  <si>
    <t>https://apidocs.hkma.gov.hk/apidata/?api=market-data-and-statistics.monthly-statistical-bulletin.financial.banking-statistics&amp;page=1</t>
  </si>
  <si>
    <t>01 Snapshot KPIs</t>
  </si>
  <si>
    <t>Loans and advances by type — authorized institutions (trade financing of HK goods + offshore merchandising, HKD / FC)</t>
  </si>
  <si>
    <t>https://apidocs.hkma.gov.hk/documentation/market-data-and-statistics/monthly-statistical-bulletin/banking/loans-by-type/</t>
  </si>
  <si>
    <t>01 Snapshot TF; 02 trend</t>
  </si>
  <si>
    <t>Loans and advances for use in Hong Kong by economic sector — authorized institutions (excludes trade financing)</t>
  </si>
  <si>
    <t>https://apidocs.hkma.gov.hk/apidata/?api=market-data-and-statistics.monthly-statistical-bulletin.banking.loans-by-sector-ais</t>
  </si>
  <si>
    <t>01 Snapshot composition</t>
  </si>
  <si>
    <t>KPMG 2024 landscape</t>
  </si>
  <si>
    <t>Hong Kong trade finance lenders landscape, p.22 — top 20 by advances to customers; market total HK$500.9 billion</t>
  </si>
  <si>
    <t>Company financial disclosures, HKMA, KPMG analysis</t>
  </si>
  <si>
    <t>Bulletin source: Hong Kong Monetary Authority, Monthly Statistical Bulletin. KPMG definition: trade finance covers finance of imports to Hong Kong, exports and re-exports from Hong Kong, and merchandising trade, classified with reference to HKMA guidelines. Do not add the KPMG 2024 total to, or subtract it from, the HKMA 3.4.1 stock.</t>
  </si>
  <si>
    <t>Appendix — HKMA Monthly Statistical Bulletin Table 1.2</t>
  </si>
  <si>
    <t>Banking statistics, authorized institutions. Unit: HK$ million. Periods labelled YYYY-00 in the source extract are year-end (equal to December of that year).</t>
  </si>
  <si>
    <t>Loans for use in HK</t>
  </si>
  <si>
    <t>Loans for use outside HK</t>
  </si>
  <si>
    <t>Period type</t>
  </si>
  <si>
    <t>2026-07</t>
  </si>
  <si>
    <t>month-end</t>
  </si>
  <si>
    <t>2026-05</t>
  </si>
  <si>
    <t>2026-04</t>
  </si>
  <si>
    <t>2026-03</t>
  </si>
  <si>
    <t>2026-02</t>
  </si>
  <si>
    <t>2026-01</t>
  </si>
  <si>
    <t>2025-11</t>
  </si>
  <si>
    <t>2025-10</t>
  </si>
  <si>
    <t>2025-09</t>
  </si>
  <si>
    <t>2025-08</t>
  </si>
  <si>
    <t>2025-07</t>
  </si>
  <si>
    <t>2025-00</t>
  </si>
  <si>
    <t>year-end</t>
  </si>
  <si>
    <t>2024-00</t>
  </si>
  <si>
    <t>2023-00</t>
  </si>
  <si>
    <t>2022-00</t>
  </si>
  <si>
    <t>2021-00</t>
  </si>
  <si>
    <t>Appendix — HKMA Monthly Statistical Bulletin Table 3.4.1</t>
  </si>
  <si>
    <t>Loans and advances by type. Trade financing = finance of HK imports / exports / re-exports + merchandising trade not touching HK. Unit: HK$ million.</t>
  </si>
  <si>
    <t>HK goods TF — HKD</t>
  </si>
  <si>
    <t>HK goods TF — FC</t>
  </si>
  <si>
    <t>HK goods TF — total</t>
  </si>
  <si>
    <t>Offshore merch. — HKD</t>
  </si>
  <si>
    <t>Offshore merch. — FC</t>
  </si>
  <si>
    <t>Offshore merch. — total</t>
  </si>
  <si>
    <t>2025-05</t>
  </si>
  <si>
    <t>2025-04</t>
  </si>
  <si>
    <t>2025-03</t>
  </si>
  <si>
    <t>2025-02</t>
  </si>
  <si>
    <t>2025-01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</si>
  <si>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</si>
  <si>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</si>
  <si>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</si>
  <si>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</si>
  <si>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</si>
  <si>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</si>
  <si>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</si>
  <si>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</si>
  <si>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</si>
  <si>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</si>
  <si>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</si>
  <si>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</si>
  <si>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</si>
  <si>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</si>
  <si>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</si>
  <si>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</si>
  <si>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</si>
  <si>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</si>
  <si>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</si>
  <si>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</si>
  <si>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</si>
  <si>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</si>
  <si>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</si>
  <si>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</si>
  <si>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</si>
  <si>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</si>
  <si>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</si>
  <si>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</si>
  <si>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</si>
  <si>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</si>
  <si>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</si>
  <si>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</si>
  <si>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</si>
  <si>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</si>
  <si>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</si>
  <si>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</si>
  <si>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</si>
  <si>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</si>
  <si>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</si>
  <si>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</si>
  <si>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</si>
  <si>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</si>
  <si>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</si>
  <si>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</si>
  <si>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</si>
  <si>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</si>
  <si>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</si>
  <si>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</si>
  <si>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</si>
  <si>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</si>
  <si>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</si>
  <si>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</si>
  <si>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</si>
  <si>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</si>
  <si>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</si>
  <si>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</si>
  <si>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</si>
  <si>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</si>
  <si>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</si>
  <si>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</si>
  <si>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</si>
  <si>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</si>
  <si>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</si>
  <si>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</si>
  <si>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</si>
  <si>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</si>
  <si>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</si>
  <si>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</si>
  <si>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</si>
  <si>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Appendix — HKMA Monthly Statistical Bulletin Table 3.5.1</t>
  </si>
  <si>
    <t>Loans and advances for use in Hong Kong by economic sector (authorized institutions). This table excludes trade-financing loans. Unit: HK$ million. Quarterly.</t>
  </si>
  <si>
    <t>Property lending* in the report = property development &amp; investment + purchase of other residential property (excludes HOS / PSPS / TPS flats).</t>
  </si>
  <si>
    <t>Property development &amp; investment</t>
  </si>
  <si>
    <t>Purchase of other residential</t>
  </si>
  <si>
    <t>Wholesale &amp; retail</t>
  </si>
  <si>
    <t>Other private purposes</t>
  </si>
  <si>
    <t>Transport</t>
  </si>
  <si>
    <t>Electricity &amp; gas</t>
  </si>
  <si>
    <t>Use in HK (ex-TF)</t>
  </si>
  <si>
    <t>Table 3.5.1 : Authorized institutions  (HK$ million, unless otherwise specified)</t>
  </si>
  <si>
    <r>
      <rPr>
        <sz val="10"/>
        <rFont val="Times New Roman"/>
        <charset val="134"/>
      </rPr>
      <t xml:space="preserve">             </t>
    </r>
    <r>
      <rPr>
        <sz val="10"/>
        <rFont val="新細明體"/>
        <charset val="136"/>
      </rPr>
      <t>認可機構</t>
    </r>
    <r>
      <rPr>
        <sz val="10"/>
        <rFont val="Times New Roman"/>
        <charset val="134"/>
      </rPr>
      <t xml:space="preserve">  (</t>
    </r>
    <r>
      <rPr>
        <sz val="10"/>
        <rFont val="新細明體"/>
        <charset val="136"/>
      </rPr>
      <t>百萬港元</t>
    </r>
    <r>
      <rPr>
        <sz val="10"/>
        <rFont val="Times New Roman"/>
        <charset val="134"/>
      </rPr>
      <t xml:space="preserve">, </t>
    </r>
    <r>
      <rPr>
        <sz val="10"/>
        <rFont val="新細明體"/>
        <charset val="136"/>
      </rPr>
      <t>另有說明者除外</t>
    </r>
    <r>
      <rPr>
        <sz val="10"/>
        <rFont val="Times New Roman"/>
        <charset val="134"/>
      </rPr>
      <t>)</t>
    </r>
  </si>
  <si>
    <t>3.4.1</t>
  </si>
  <si>
    <t>Table :   Loans and advances</t>
  </si>
  <si>
    <t>貸款及墊款</t>
  </si>
  <si>
    <t>December 2024</t>
  </si>
  <si>
    <t>December 2023</t>
  </si>
  <si>
    <t>December 2022</t>
  </si>
  <si>
    <t>December 2021</t>
  </si>
  <si>
    <t>Proportion%</t>
  </si>
  <si>
    <t>YoY%</t>
  </si>
  <si>
    <t>HK$</t>
  </si>
  <si>
    <t>Foreign currency</t>
  </si>
  <si>
    <t>loans_total</t>
  </si>
  <si>
    <t>Total loan and advances</t>
  </si>
  <si>
    <t>loans_in_hk</t>
  </si>
  <si>
    <t>Trade finance</t>
  </si>
  <si>
    <t>貿易融資</t>
  </si>
  <si>
    <t>imp_exp_reexp_fromhk_hkd</t>
  </si>
  <si>
    <t>imp_exp_reexp_fromhk_fc</t>
  </si>
  <si>
    <t>imp_exp_reexp_fromhk_total</t>
  </si>
  <si>
    <t>To finance H.K.'s visible trade</t>
  </si>
  <si>
    <t xml:space="preserve">香港貨物的出入口及轉口融資  </t>
  </si>
  <si>
    <t>merch_trade_nonhk_hkd</t>
  </si>
  <si>
    <t>merch_trade_nonhk_fc</t>
  </si>
  <si>
    <t>merch_trade_nonhk_total</t>
  </si>
  <si>
    <t>To finance merchandising trade not touching H.K.</t>
  </si>
  <si>
    <t>香港境外的商品貿易融資</t>
  </si>
  <si>
    <t>loans_inhk_hkd</t>
  </si>
  <si>
    <t>loans_inhk_fc</t>
  </si>
  <si>
    <t>loans_inhk_total</t>
  </si>
  <si>
    <r>
      <rPr>
        <b/>
        <sz val="11"/>
        <color theme="1"/>
        <rFont val="Times New Roman"/>
        <charset val="134"/>
      </rPr>
      <t>Other loans for use in H.K</t>
    </r>
    <r>
      <rPr>
        <b/>
        <vertAlign val="superscript"/>
        <sz val="11"/>
        <color theme="1"/>
        <rFont val="Times New Roman"/>
        <charset val="134"/>
      </rPr>
      <t>(1)</t>
    </r>
  </si>
  <si>
    <t>mfg</t>
  </si>
  <si>
    <t>製造業</t>
  </si>
  <si>
    <t>mfg_textiles</t>
  </si>
  <si>
    <t>Textiles</t>
  </si>
  <si>
    <t>紡織</t>
  </si>
  <si>
    <t>mfg_footwear</t>
  </si>
  <si>
    <t>Footwear and wearing apparel</t>
  </si>
  <si>
    <t>鞋類及衣飾</t>
  </si>
  <si>
    <t>mfg_metalengr</t>
  </si>
  <si>
    <t>Metal products and engineering</t>
  </si>
  <si>
    <t>金屬製品及工程</t>
  </si>
  <si>
    <t>mfg_rubbplastchem</t>
  </si>
  <si>
    <t>Rubber, plastic and chemicals</t>
  </si>
  <si>
    <t>橡膠、塑膠及化工</t>
  </si>
  <si>
    <t>mfg_shipbuildrepair</t>
  </si>
  <si>
    <r>
      <rPr>
        <sz val="10"/>
        <rFont val="Times New Roman"/>
        <charset val="134"/>
      </rPr>
      <t xml:space="preserve">Shipbuilding and repair </t>
    </r>
    <r>
      <rPr>
        <vertAlign val="superscript"/>
        <sz val="10"/>
        <rFont val="Times New Roman"/>
        <charset val="134"/>
      </rPr>
      <t>3</t>
    </r>
  </si>
  <si>
    <r>
      <rPr>
        <sz val="10"/>
        <rFont val="Times New Roman"/>
        <charset val="134"/>
      </rPr>
      <t>造船及修理</t>
    </r>
    <r>
      <rPr>
        <vertAlign val="superscript"/>
        <sz val="10"/>
        <rFont val="Times New Roman"/>
        <charset val="134"/>
      </rPr>
      <t>3</t>
    </r>
  </si>
  <si>
    <t>mfg_ee</t>
  </si>
  <si>
    <r>
      <rPr>
        <sz val="10"/>
        <rFont val="Times New Roman"/>
        <charset val="134"/>
      </rPr>
      <t>Electrical and electronic</t>
    </r>
    <r>
      <rPr>
        <vertAlign val="superscript"/>
        <sz val="10"/>
        <rFont val="Times New Roman"/>
        <charset val="134"/>
      </rPr>
      <t>4</t>
    </r>
  </si>
  <si>
    <r>
      <rPr>
        <sz val="10"/>
        <rFont val="Times New Roman"/>
        <charset val="134"/>
      </rPr>
      <t>電器及電子</t>
    </r>
    <r>
      <rPr>
        <vertAlign val="superscript"/>
        <sz val="10"/>
        <rFont val="Times New Roman"/>
        <charset val="134"/>
      </rPr>
      <t>4</t>
    </r>
  </si>
  <si>
    <t>mfg_ee_teleequip</t>
  </si>
  <si>
    <t xml:space="preserve">     Telecommunication equipment</t>
  </si>
  <si>
    <t xml:space="preserve">    電子通訊設備</t>
  </si>
  <si>
    <t>mfg_ee_other</t>
  </si>
  <si>
    <t xml:space="preserve">     Others</t>
  </si>
  <si>
    <t xml:space="preserve">    其他</t>
  </si>
  <si>
    <t>mfg_food</t>
  </si>
  <si>
    <t>Food</t>
  </si>
  <si>
    <t>食品</t>
  </si>
  <si>
    <t>mfg_bevtob</t>
  </si>
  <si>
    <t>Beverages and tobacco</t>
  </si>
  <si>
    <t>飲料及煙草</t>
  </si>
  <si>
    <t>mfg_printpub</t>
  </si>
  <si>
    <t>Printing and publishing</t>
  </si>
  <si>
    <t>印刷及出版</t>
  </si>
  <si>
    <t>mfg_misc</t>
  </si>
  <si>
    <t>Miscellaneous</t>
  </si>
  <si>
    <t>雜類</t>
  </si>
  <si>
    <t>af</t>
  </si>
  <si>
    <t>Agriculture and fisheries</t>
  </si>
  <si>
    <t>農業及漁業</t>
  </si>
  <si>
    <t>af_fisheries</t>
  </si>
  <si>
    <t>Fisheries</t>
  </si>
  <si>
    <t>漁業</t>
  </si>
  <si>
    <t>af_livestock</t>
  </si>
  <si>
    <t>Livestock and livestock products</t>
  </si>
  <si>
    <t xml:space="preserve">禽畜及禽畜產品 </t>
  </si>
  <si>
    <t>af_veghort</t>
  </si>
  <si>
    <t>Vegetables and horticulture</t>
  </si>
  <si>
    <t>蔬菜及園藝</t>
  </si>
  <si>
    <t>tran</t>
  </si>
  <si>
    <t xml:space="preserve">運輸及運輸設備 </t>
  </si>
  <si>
    <t>tran_shipping</t>
  </si>
  <si>
    <t>Shipping</t>
  </si>
  <si>
    <t>航運</t>
  </si>
  <si>
    <t>tran_airtran</t>
  </si>
  <si>
    <t>Air transport</t>
  </si>
  <si>
    <t>空運</t>
  </si>
  <si>
    <t>tran_taxisplb</t>
  </si>
  <si>
    <t>Taxis and public light buses</t>
  </si>
  <si>
    <t>的士及公共輕型巴士</t>
  </si>
  <si>
    <t>tran_taxisplb_taxis</t>
  </si>
  <si>
    <t xml:space="preserve">     Taxis</t>
  </si>
  <si>
    <t xml:space="preserve">    的士</t>
  </si>
  <si>
    <t>tran_taxisplb_plb</t>
  </si>
  <si>
    <t xml:space="preserve">     Public light buses</t>
  </si>
  <si>
    <t xml:space="preserve">    公共輕型巴士</t>
  </si>
  <si>
    <t>tran_other</t>
  </si>
  <si>
    <t>egt</t>
  </si>
  <si>
    <t>Electricity, gas and telecommunications</t>
  </si>
  <si>
    <t>電力、氣體燃料及電訊</t>
  </si>
  <si>
    <t>eg</t>
  </si>
  <si>
    <t xml:space="preserve">Electricity and gas </t>
  </si>
  <si>
    <t>電力及氣體燃料</t>
  </si>
  <si>
    <t>rec</t>
  </si>
  <si>
    <t xml:space="preserve">Recreational activities                 </t>
  </si>
  <si>
    <t>康樂活動</t>
  </si>
  <si>
    <t>it</t>
  </si>
  <si>
    <t xml:space="preserve">Information technology                  </t>
  </si>
  <si>
    <t>資訊科技</t>
  </si>
  <si>
    <t>it_telecom</t>
  </si>
  <si>
    <t xml:space="preserve">Telecommunications                   </t>
  </si>
  <si>
    <t>電子通訊</t>
  </si>
  <si>
    <t>it_other</t>
  </si>
  <si>
    <t xml:space="preserve">Others                               </t>
  </si>
  <si>
    <t>bcpi</t>
  </si>
  <si>
    <t>Building and construction, property development and investment</t>
  </si>
  <si>
    <t>建造業、物業發展及投資</t>
  </si>
  <si>
    <t>bcpi_propdev</t>
  </si>
  <si>
    <t>Property development and investment</t>
  </si>
  <si>
    <t>物業發展及投資</t>
  </si>
  <si>
    <t>bcpi_propdev_ind</t>
  </si>
  <si>
    <t xml:space="preserve">     Industrial</t>
  </si>
  <si>
    <t xml:space="preserve">    工業</t>
  </si>
  <si>
    <t>bcpi_propdev_res</t>
  </si>
  <si>
    <t xml:space="preserve">     Residential</t>
  </si>
  <si>
    <t xml:space="preserve">    住宅</t>
  </si>
  <si>
    <t>bcpi_propdev_comm</t>
  </si>
  <si>
    <t xml:space="preserve">     Commercial</t>
  </si>
  <si>
    <t xml:space="preserve">    商業</t>
  </si>
  <si>
    <t>bcpi_propdev_other</t>
  </si>
  <si>
    <t xml:space="preserve">     Other properties</t>
  </si>
  <si>
    <t xml:space="preserve">    其他物業</t>
  </si>
  <si>
    <t>bcpi_other</t>
  </si>
  <si>
    <t>wsale</t>
  </si>
  <si>
    <t>批發及零售業</t>
  </si>
  <si>
    <t>mine</t>
  </si>
  <si>
    <t>Mining and quarrying</t>
  </si>
  <si>
    <t>採礦及採石業</t>
  </si>
  <si>
    <t>misc</t>
  </si>
  <si>
    <t>其他經濟行業</t>
  </si>
  <si>
    <t>misc_hotelcater</t>
  </si>
  <si>
    <t>Hotels, boarding houses and catering</t>
  </si>
  <si>
    <t>酒店、旅舍及飲食業</t>
  </si>
  <si>
    <t>misc_fin</t>
  </si>
  <si>
    <t>與財務及金融有關公司</t>
  </si>
  <si>
    <t>misc_fin_inv</t>
  </si>
  <si>
    <t xml:space="preserve">     Investment companies</t>
  </si>
  <si>
    <t xml:space="preserve">    投資公司</t>
  </si>
  <si>
    <t>misc_fin_ins</t>
  </si>
  <si>
    <t xml:space="preserve">     Insurance companies</t>
  </si>
  <si>
    <t xml:space="preserve">    保險公司</t>
  </si>
  <si>
    <t>misc_fin_futbrok</t>
  </si>
  <si>
    <t xml:space="preserve">     Futures brokers</t>
  </si>
  <si>
    <t xml:space="preserve">    期貨買賣商</t>
  </si>
  <si>
    <t>misc_fin_finother</t>
  </si>
  <si>
    <t xml:space="preserve">     Finance companies and others</t>
  </si>
  <si>
    <t xml:space="preserve">    金融公司及其他</t>
  </si>
  <si>
    <t>misc_stockbrok</t>
  </si>
  <si>
    <t>Stockbrokers</t>
  </si>
  <si>
    <t>證券經紀</t>
  </si>
  <si>
    <t>misc_prof</t>
  </si>
  <si>
    <t>Professional and private individuals</t>
  </si>
  <si>
    <t>專業人士及個人</t>
  </si>
  <si>
    <t>misc_prof_purschflat</t>
  </si>
  <si>
    <t xml:space="preserve">             For the purchase of flats in Home Ownership</t>
  </si>
  <si>
    <t xml:space="preserve">            購買「居者有其屋計劃」、「私人機構</t>
  </si>
  <si>
    <t xml:space="preserve">                    Scheme, Private Sector Participation </t>
  </si>
  <si>
    <t xml:space="preserve">                     參建居屋計劃」及「租者置其屋計劃」</t>
  </si>
  <si>
    <t xml:space="preserve">                    Scheme &amp; Tenants Purchase Scheme</t>
  </si>
  <si>
    <t xml:space="preserve">                      單位</t>
  </si>
  <si>
    <t>misc_prof_purother</t>
  </si>
  <si>
    <t xml:space="preserve">             For the purchase of other residential properties</t>
  </si>
  <si>
    <t xml:space="preserve">            購買其他住宅樓宇</t>
  </si>
  <si>
    <t>misc_prof_ccadv</t>
  </si>
  <si>
    <t xml:space="preserve">     For credit card advances</t>
  </si>
  <si>
    <t xml:space="preserve">    信用卡墊款</t>
  </si>
  <si>
    <t>misc_prof_otherbusi</t>
  </si>
  <si>
    <t xml:space="preserve">     For other business purposes</t>
  </si>
  <si>
    <t xml:space="preserve">    其他商業用途</t>
  </si>
  <si>
    <t>misc_prof_otherpvt</t>
  </si>
  <si>
    <t xml:space="preserve">     For other private purposes</t>
  </si>
  <si>
    <t xml:space="preserve">    其他私人用途</t>
  </si>
  <si>
    <t>misc_allother</t>
  </si>
  <si>
    <t>All others</t>
  </si>
  <si>
    <t>loans_outside_hk</t>
  </si>
  <si>
    <t>other_loans_outhk_hkd</t>
  </si>
  <si>
    <t>other_loans_outhk_fc</t>
  </si>
  <si>
    <t>other_loans_outhk_total</t>
  </si>
  <si>
    <t>Other loans for use outside H.K</t>
  </si>
  <si>
    <t>other_loans_unkplace_hkd</t>
  </si>
  <si>
    <t>other_loans_unkplace_fc</t>
  </si>
  <si>
    <t>other_loans_unkplace_total</t>
  </si>
  <si>
    <t>Other loans where the place of use is not known</t>
  </si>
  <si>
    <t>(1).</t>
  </si>
  <si>
    <t xml:space="preserve">Loans and advances for use in Hong Kong refer to loans that have direct impact on the level of economic activity in Hong Kong.  </t>
  </si>
  <si>
    <t>在香港使用的貸款是指對香港的經濟活動有直接影響的貸款。 這一般視乎</t>
  </si>
  <si>
    <t xml:space="preserve">This is usually determined by whether the loan is made available or disbursed in Hong Kong, and by the principal business </t>
  </si>
  <si>
    <t>該筆貸款是否由香港提供或在香港支付，以及客戶的主要業務所在地而定。</t>
  </si>
  <si>
    <t>location of the customer.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</si>
</sst>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;\-0.0%;&quot;-&quot;"/>
    <numFmt numFmtId="177" formatCode="0.0%;[Red]\-0.0%;0.0%"/>
    <numFmt numFmtId="178" formatCode="#,##0_);\(#,##0\);&quot;-&quot;_)"/>
    <numFmt numFmtId="179" formatCode="#,##0.000"/>
    <numFmt numFmtId="180" formatCode="0.0%"/>
    <numFmt numFmtId="181" formatCode="0.0"/>
    <numFmt numFmtId="182" formatCode="#,##0.0"/>
  </numFmts>
  <fonts count="5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  <scheme val="major"/>
    </font>
    <font>
      <sz val="11"/>
      <color theme="1"/>
      <name val="宋体"/>
      <charset val="136"/>
      <scheme val="major"/>
    </font>
    <font>
      <sz val="10"/>
      <name val="Times New Roman"/>
      <charset val="134"/>
    </font>
    <font>
      <sz val="10"/>
      <name val="Times New Roman"/>
      <charset val="136"/>
    </font>
    <font>
      <sz val="11"/>
      <color theme="1"/>
      <name val="Times New Roman"/>
      <charset val="136"/>
    </font>
    <font>
      <sz val="9"/>
      <color rgb="FF808080"/>
      <name val="Arial"/>
      <charset val="134"/>
    </font>
    <font>
      <sz val="10"/>
      <color rgb="FF262626"/>
      <name val="Arial"/>
      <charset val="134"/>
    </font>
    <font>
      <b/>
      <sz val="14"/>
      <color rgb="FF1F3864"/>
      <name val="Arial"/>
      <charset val="134"/>
    </font>
    <font>
      <b/>
      <sz val="10"/>
      <color rgb="FFFFFFFF"/>
      <name val="Arial"/>
      <charset val="134"/>
    </font>
    <font>
      <b/>
      <sz val="11"/>
      <color rgb="FFFFFFFF"/>
      <name val="Arial"/>
      <charset val="134"/>
    </font>
    <font>
      <b/>
      <sz val="9"/>
      <color rgb="FF1F3864"/>
      <name val="Arial"/>
      <charset val="134"/>
    </font>
    <font>
      <b/>
      <sz val="10"/>
      <color rgb="FF1F3864"/>
      <name val="Arial"/>
      <charset val="134"/>
    </font>
    <font>
      <b/>
      <sz val="10"/>
      <color rgb="FF262626"/>
      <name val="Arial"/>
      <charset val="134"/>
    </font>
    <font>
      <sz val="10"/>
      <color rgb="FF595959"/>
      <name val="Arial"/>
      <charset val="134"/>
    </font>
    <font>
      <i/>
      <sz val="9"/>
      <color rgb="FF595959"/>
      <name val="Arial"/>
      <charset val="134"/>
    </font>
    <font>
      <b/>
      <sz val="14"/>
      <color rgb="FF1B3A4B"/>
      <name val="Calibri"/>
      <charset val="134"/>
    </font>
    <font>
      <sz val="9"/>
      <color rgb="FF5C6670"/>
      <name val="Calibri"/>
      <charset val="134"/>
    </font>
    <font>
      <b/>
      <sz val="10"/>
      <color rgb="FFFFFFFF"/>
      <name val="Calibri"/>
      <charset val="134"/>
    </font>
    <font>
      <sz val="10"/>
      <color rgb="FF1A1A1A"/>
      <name val="Calibri"/>
      <charset val="134"/>
    </font>
    <font>
      <b/>
      <sz val="18"/>
      <color rgb="FF1B3A4B"/>
      <name val="Calibri"/>
      <charset val="134"/>
    </font>
    <font>
      <sz val="9"/>
      <color rgb="FF2A6F7F"/>
      <name val="Calibri"/>
      <charset val="134"/>
    </font>
    <font>
      <sz val="8"/>
      <color rgb="FF5C6670"/>
      <name val="Calibri"/>
      <charset val="134"/>
    </font>
    <font>
      <b/>
      <sz val="13"/>
      <color rgb="FF1B3A4B"/>
      <name val="Calibri"/>
      <charset val="134"/>
    </font>
    <font>
      <b/>
      <sz val="10"/>
      <color rgb="FF1A1A1A"/>
      <name val="Calibri"/>
      <charset val="134"/>
    </font>
    <font>
      <sz val="10"/>
      <color rgb="FF4A5560"/>
      <name val="Calibri"/>
      <charset val="134"/>
    </font>
    <font>
      <sz val="11"/>
      <color rgb="FF2A6F7F"/>
      <name val="Calibri"/>
      <charset val="134"/>
    </font>
    <font>
      <b/>
      <sz val="12"/>
      <color rgb="FF1B3A4B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"/>
      <charset val="134"/>
    </font>
    <font>
      <vertAlign val="superscript"/>
      <sz val="10"/>
      <name val="Times New Roman"/>
      <charset val="134"/>
    </font>
    <font>
      <sz val="10"/>
      <name val="新細明體"/>
      <charset val="136"/>
    </font>
    <font>
      <b/>
      <vertAlign val="superscript"/>
      <sz val="11"/>
      <color theme="1"/>
      <name val="Times New Roman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CE3EE"/>
        <bgColor indexed="64"/>
      </patternFill>
    </fill>
    <fill>
      <patternFill patternType="solid">
        <fgColor rgb="FFE4EAF3"/>
        <bgColor indexed="64"/>
      </patternFill>
    </fill>
    <fill>
      <patternFill patternType="solid">
        <fgColor rgb="FFF3F5F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B3A4B"/>
        <bgColor indexed="64"/>
      </patternFill>
    </fill>
    <fill>
      <patternFill patternType="solid">
        <fgColor rgb="FFF7F4EE"/>
        <bgColor indexed="64"/>
      </patternFill>
    </fill>
    <fill>
      <patternFill patternType="solid">
        <fgColor rgb="FFE8F0F2"/>
        <bgColor indexed="64"/>
      </patternFill>
    </fill>
    <fill>
      <patternFill patternType="solid">
        <fgColor rgb="FF2A6F7F"/>
        <bgColor indexed="64"/>
      </patternFill>
    </fill>
    <fill>
      <patternFill patternType="solid">
        <fgColor rgb="FFEE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A6A6A6"/>
      </right>
      <top style="thin">
        <color rgb="FF1F3864"/>
      </top>
      <bottom style="thin">
        <color rgb="FF1F3864"/>
      </bottom>
      <diagonal/>
    </border>
    <border>
      <left/>
      <right/>
      <top/>
      <bottom style="hair">
        <color rgb="FFD9D9D9"/>
      </bottom>
      <diagonal/>
    </border>
    <border>
      <left/>
      <right style="thin">
        <color rgb="FFA6A6A6"/>
      </right>
      <top/>
      <bottom style="hair">
        <color rgb="FFD9D9D9"/>
      </bottom>
      <diagonal/>
    </border>
    <border>
      <left/>
      <right/>
      <top/>
      <bottom style="thin">
        <color rgb="FF1F3864"/>
      </bottom>
      <diagonal/>
    </border>
    <border>
      <left/>
      <right style="thin">
        <color rgb="FFA6A6A6"/>
      </right>
      <top/>
      <bottom style="thin">
        <color rgb="FF1F3864"/>
      </bottom>
      <diagonal/>
    </border>
    <border>
      <left style="thin">
        <color rgb="FFD4CFC4"/>
      </left>
      <right style="thin">
        <color rgb="FFD4CFC4"/>
      </right>
      <top style="thin">
        <color rgb="FFD4CFC4"/>
      </top>
      <bottom style="thin">
        <color rgb="FFD4CFC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3" borderId="14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4" borderId="17" applyNumberFormat="0" applyAlignment="0" applyProtection="0">
      <alignment vertical="center"/>
    </xf>
    <xf numFmtId="0" fontId="40" fillId="15" borderId="18" applyNumberFormat="0" applyAlignment="0" applyProtection="0">
      <alignment vertical="center"/>
    </xf>
    <xf numFmtId="0" fontId="41" fillId="15" borderId="17" applyNumberFormat="0" applyAlignment="0" applyProtection="0">
      <alignment vertical="center"/>
    </xf>
    <xf numFmtId="0" fontId="42" fillId="16" borderId="19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37" fontId="50" fillId="0" borderId="0"/>
  </cellStyleXfs>
  <cellXfs count="129">
    <xf numFmtId="0" fontId="0" fillId="0" borderId="0" xfId="0"/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3" fillId="2" borderId="0" xfId="0" applyFont="1" applyFill="1" applyAlignment="1"/>
    <xf numFmtId="0" fontId="4" fillId="2" borderId="1" xfId="0" applyFont="1" applyFill="1" applyBorder="1" applyAlignment="1"/>
    <xf numFmtId="0" fontId="3" fillId="2" borderId="2" xfId="0" applyFont="1" applyFill="1" applyBorder="1" applyAlignment="1"/>
    <xf numFmtId="37" fontId="5" fillId="2" borderId="0" xfId="49" applyFont="1" applyFill="1" applyAlignment="1" applyProtection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4" fontId="3" fillId="2" borderId="0" xfId="0" applyNumberFormat="1" applyFont="1" applyFill="1" applyAlignment="1"/>
    <xf numFmtId="37" fontId="5" fillId="2" borderId="3" xfId="49" applyFont="1" applyFill="1" applyBorder="1" applyAlignment="1" applyProtection="1">
      <alignment horizontal="left"/>
    </xf>
    <xf numFmtId="37" fontId="6" fillId="2" borderId="1" xfId="49" applyFont="1" applyFill="1" applyBorder="1"/>
    <xf numFmtId="37" fontId="5" fillId="2" borderId="2" xfId="49" applyFont="1" applyFill="1" applyBorder="1"/>
    <xf numFmtId="37" fontId="5" fillId="2" borderId="0" xfId="49" applyFont="1" applyFill="1" applyBorder="1"/>
    <xf numFmtId="0" fontId="3" fillId="2" borderId="3" xfId="0" applyFont="1" applyFill="1" applyBorder="1" applyAlignment="1"/>
    <xf numFmtId="0" fontId="4" fillId="2" borderId="4" xfId="0" applyFont="1" applyFill="1" applyBorder="1" applyAlignment="1"/>
    <xf numFmtId="0" fontId="3" fillId="2" borderId="5" xfId="0" applyFont="1" applyFill="1" applyBorder="1" applyAlignment="1"/>
    <xf numFmtId="37" fontId="5" fillId="2" borderId="0" xfId="49" applyFont="1" applyFill="1" applyBorder="1" applyAlignment="1" applyProtection="1">
      <alignment horizontal="left"/>
    </xf>
    <xf numFmtId="0" fontId="7" fillId="2" borderId="1" xfId="0" applyFont="1" applyFill="1" applyBorder="1" applyAlignment="1"/>
    <xf numFmtId="0" fontId="1" fillId="2" borderId="2" xfId="0" applyFont="1" applyFill="1" applyBorder="1" applyAlignment="1"/>
    <xf numFmtId="0" fontId="8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horizontal="left" vertical="center"/>
    </xf>
    <xf numFmtId="0" fontId="11" fillId="3" borderId="0" xfId="0" applyNumberFormat="1" applyFont="1" applyFill="1" applyBorder="1" applyAlignment="1">
      <alignment horizontal="center" vertical="center"/>
    </xf>
    <xf numFmtId="0" fontId="12" fillId="3" borderId="0" xfId="0" applyNumberFormat="1" applyFont="1" applyFill="1" applyBorder="1" applyAlignment="1">
      <alignment horizontal="left" vertical="center"/>
    </xf>
    <xf numFmtId="0" fontId="13" fillId="4" borderId="6" xfId="0" applyNumberFormat="1" applyFont="1" applyFill="1" applyBorder="1" applyAlignment="1">
      <alignment horizontal="center" vertical="center" wrapText="1"/>
    </xf>
    <xf numFmtId="0" fontId="13" fillId="4" borderId="6" xfId="0" applyNumberFormat="1" applyFont="1" applyFill="1" applyBorder="1" applyAlignment="1">
      <alignment horizontal="left" vertical="center"/>
    </xf>
    <xf numFmtId="0" fontId="14" fillId="5" borderId="7" xfId="0" applyNumberFormat="1" applyFont="1" applyFill="1" applyBorder="1" applyAlignment="1">
      <alignment horizontal="left" vertical="center"/>
    </xf>
    <xf numFmtId="176" fontId="14" fillId="5" borderId="7" xfId="0" applyNumberFormat="1" applyFont="1" applyFill="1" applyBorder="1" applyAlignment="1">
      <alignment horizontal="right" vertical="center"/>
    </xf>
    <xf numFmtId="177" fontId="14" fillId="5" borderId="8" xfId="0" applyNumberFormat="1" applyFont="1" applyFill="1" applyBorder="1" applyAlignment="1">
      <alignment horizontal="right" vertical="center"/>
    </xf>
    <xf numFmtId="178" fontId="14" fillId="5" borderId="7" xfId="0" applyNumberFormat="1" applyFont="1" applyFill="1" applyBorder="1" applyAlignment="1">
      <alignment horizontal="right" vertical="center"/>
    </xf>
    <xf numFmtId="0" fontId="14" fillId="6" borderId="9" xfId="0" applyNumberFormat="1" applyFont="1" applyFill="1" applyBorder="1" applyAlignment="1">
      <alignment horizontal="left" vertical="center"/>
    </xf>
    <xf numFmtId="176" fontId="14" fillId="6" borderId="9" xfId="0" applyNumberFormat="1" applyFont="1" applyFill="1" applyBorder="1" applyAlignment="1">
      <alignment horizontal="right" vertical="center"/>
    </xf>
    <xf numFmtId="177" fontId="14" fillId="6" borderId="10" xfId="0" applyNumberFormat="1" applyFont="1" applyFill="1" applyBorder="1" applyAlignment="1">
      <alignment horizontal="right" vertical="center"/>
    </xf>
    <xf numFmtId="178" fontId="14" fillId="6" borderId="9" xfId="0" applyNumberFormat="1" applyFont="1" applyFill="1" applyBorder="1" applyAlignment="1">
      <alignment horizontal="right" vertical="center"/>
    </xf>
    <xf numFmtId="0" fontId="15" fillId="7" borderId="9" xfId="0" applyNumberFormat="1" applyFont="1" applyFill="1" applyBorder="1" applyAlignment="1">
      <alignment horizontal="left" vertical="center"/>
    </xf>
    <xf numFmtId="0" fontId="15" fillId="7" borderId="9" xfId="0" applyNumberFormat="1" applyFont="1" applyFill="1" applyBorder="1" applyAlignment="1">
      <alignment horizontal="left" vertical="center" indent="1"/>
    </xf>
    <xf numFmtId="176" fontId="15" fillId="7" borderId="9" xfId="0" applyNumberFormat="1" applyFont="1" applyFill="1" applyBorder="1" applyAlignment="1">
      <alignment horizontal="right" vertical="center"/>
    </xf>
    <xf numFmtId="177" fontId="15" fillId="7" borderId="10" xfId="0" applyNumberFormat="1" applyFont="1" applyFill="1" applyBorder="1" applyAlignment="1">
      <alignment horizontal="right" vertical="center"/>
    </xf>
    <xf numFmtId="178" fontId="15" fillId="7" borderId="9" xfId="0" applyNumberFormat="1" applyFont="1" applyFill="1" applyBorder="1" applyAlignment="1">
      <alignment horizontal="right" vertical="center"/>
    </xf>
    <xf numFmtId="0" fontId="9" fillId="0" borderId="9" xfId="0" applyNumberFormat="1" applyFont="1" applyFill="1" applyBorder="1" applyAlignment="1">
      <alignment horizontal="left" vertical="center"/>
    </xf>
    <xf numFmtId="0" fontId="9" fillId="0" borderId="9" xfId="0" applyNumberFormat="1" applyFont="1" applyFill="1" applyBorder="1" applyAlignment="1">
      <alignment horizontal="left" vertical="center" indent="2"/>
    </xf>
    <xf numFmtId="0" fontId="16" fillId="0" borderId="9" xfId="0" applyNumberFormat="1" applyFont="1" applyFill="1" applyBorder="1" applyAlignment="1">
      <alignment horizontal="left" vertical="center"/>
    </xf>
    <xf numFmtId="176" fontId="9" fillId="0" borderId="9" xfId="0" applyNumberFormat="1" applyFont="1" applyFill="1" applyBorder="1" applyAlignment="1">
      <alignment horizontal="right" vertical="center"/>
    </xf>
    <xf numFmtId="177" fontId="9" fillId="0" borderId="10" xfId="0" applyNumberFormat="1" applyFont="1" applyFill="1" applyBorder="1" applyAlignment="1">
      <alignment horizontal="right" vertical="center"/>
    </xf>
    <xf numFmtId="178" fontId="9" fillId="0" borderId="9" xfId="0" applyNumberFormat="1" applyFont="1" applyFill="1" applyBorder="1" applyAlignment="1">
      <alignment horizontal="right" vertical="center"/>
    </xf>
    <xf numFmtId="0" fontId="15" fillId="0" borderId="9" xfId="0" applyNumberFormat="1" applyFont="1" applyFill="1" applyBorder="1" applyAlignment="1">
      <alignment horizontal="left" vertical="center"/>
    </xf>
    <xf numFmtId="0" fontId="15" fillId="0" borderId="9" xfId="0" applyNumberFormat="1" applyFont="1" applyFill="1" applyBorder="1" applyAlignment="1">
      <alignment horizontal="left" vertical="center" indent="1"/>
    </xf>
    <xf numFmtId="176" fontId="15" fillId="0" borderId="9" xfId="0" applyNumberFormat="1" applyFont="1" applyFill="1" applyBorder="1" applyAlignment="1">
      <alignment horizontal="right" vertical="center"/>
    </xf>
    <xf numFmtId="177" fontId="15" fillId="0" borderId="10" xfId="0" applyNumberFormat="1" applyFont="1" applyFill="1" applyBorder="1" applyAlignment="1">
      <alignment horizontal="right" vertical="center"/>
    </xf>
    <xf numFmtId="178" fontId="15" fillId="0" borderId="9" xfId="0" applyNumberFormat="1" applyFont="1" applyFill="1" applyBorder="1" applyAlignment="1">
      <alignment horizontal="right" vertical="center"/>
    </xf>
    <xf numFmtId="0" fontId="14" fillId="7" borderId="9" xfId="0" applyNumberFormat="1" applyFont="1" applyFill="1" applyBorder="1" applyAlignment="1">
      <alignment horizontal="left" vertical="center"/>
    </xf>
    <xf numFmtId="176" fontId="14" fillId="7" borderId="9" xfId="0" applyNumberFormat="1" applyFont="1" applyFill="1" applyBorder="1" applyAlignment="1">
      <alignment horizontal="right" vertical="center"/>
    </xf>
    <xf numFmtId="177" fontId="14" fillId="7" borderId="10" xfId="0" applyNumberFormat="1" applyFont="1" applyFill="1" applyBorder="1" applyAlignment="1">
      <alignment horizontal="right" vertical="center"/>
    </xf>
    <xf numFmtId="178" fontId="14" fillId="7" borderId="9" xfId="0" applyNumberFormat="1" applyFont="1" applyFill="1" applyBorder="1" applyAlignment="1">
      <alignment horizontal="right" vertical="center"/>
    </xf>
    <xf numFmtId="0" fontId="9" fillId="0" borderId="9" xfId="0" applyNumberFormat="1" applyFont="1" applyFill="1" applyBorder="1" applyAlignment="1">
      <alignment horizontal="left" vertical="center" indent="1"/>
    </xf>
    <xf numFmtId="0" fontId="16" fillId="0" borderId="9" xfId="0" applyNumberFormat="1" applyFont="1" applyFill="1" applyBorder="1" applyAlignment="1">
      <alignment horizontal="left" vertical="center" indent="1"/>
    </xf>
    <xf numFmtId="0" fontId="14" fillId="0" borderId="9" xfId="0" applyNumberFormat="1" applyFont="1" applyFill="1" applyBorder="1" applyAlignment="1">
      <alignment horizontal="left" vertical="center"/>
    </xf>
    <xf numFmtId="176" fontId="14" fillId="0" borderId="9" xfId="0" applyNumberFormat="1" applyFont="1" applyFill="1" applyBorder="1" applyAlignment="1">
      <alignment horizontal="right" vertical="center"/>
    </xf>
    <xf numFmtId="177" fontId="14" fillId="0" borderId="10" xfId="0" applyNumberFormat="1" applyFont="1" applyFill="1" applyBorder="1" applyAlignment="1">
      <alignment horizontal="right" vertical="center"/>
    </xf>
    <xf numFmtId="178" fontId="14" fillId="0" borderId="9" xfId="0" applyNumberFormat="1" applyFont="1" applyFill="1" applyBorder="1" applyAlignment="1">
      <alignment horizontal="right" vertical="center"/>
    </xf>
    <xf numFmtId="0" fontId="9" fillId="0" borderId="11" xfId="0" applyNumberFormat="1" applyFont="1" applyFill="1" applyBorder="1" applyAlignment="1">
      <alignment horizontal="left" vertical="center"/>
    </xf>
    <xf numFmtId="0" fontId="9" fillId="0" borderId="11" xfId="0" applyNumberFormat="1" applyFont="1" applyFill="1" applyBorder="1" applyAlignment="1">
      <alignment horizontal="left" vertical="center" indent="1"/>
    </xf>
    <xf numFmtId="0" fontId="16" fillId="0" borderId="11" xfId="0" applyNumberFormat="1" applyFont="1" applyFill="1" applyBorder="1" applyAlignment="1">
      <alignment horizontal="left" vertical="center"/>
    </xf>
    <xf numFmtId="176" fontId="9" fillId="0" borderId="11" xfId="0" applyNumberFormat="1" applyFont="1" applyFill="1" applyBorder="1" applyAlignment="1">
      <alignment horizontal="right" vertical="center"/>
    </xf>
    <xf numFmtId="177" fontId="9" fillId="0" borderId="12" xfId="0" applyNumberFormat="1" applyFont="1" applyFill="1" applyBorder="1" applyAlignment="1">
      <alignment horizontal="right" vertical="center"/>
    </xf>
    <xf numFmtId="178" fontId="9" fillId="0" borderId="11" xfId="0" applyNumberFormat="1" applyFont="1" applyFill="1" applyBorder="1" applyAlignment="1">
      <alignment horizontal="right" vertical="center"/>
    </xf>
    <xf numFmtId="0" fontId="17" fillId="0" borderId="0" xfId="0" applyNumberFormat="1" applyFont="1" applyFill="1" applyBorder="1" applyAlignment="1">
      <alignment horizontal="left" vertical="top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8" borderId="13" xfId="0" applyFont="1" applyFill="1" applyBorder="1" applyAlignment="1">
      <alignment horizontal="center" vertical="center" wrapText="1"/>
    </xf>
    <xf numFmtId="0" fontId="21" fillId="9" borderId="13" xfId="0" applyFont="1" applyFill="1" applyBorder="1" applyAlignment="1">
      <alignment horizontal="center" vertical="center"/>
    </xf>
    <xf numFmtId="179" fontId="21" fillId="9" borderId="13" xfId="0" applyNumberFormat="1" applyFont="1" applyFill="1" applyBorder="1"/>
    <xf numFmtId="0" fontId="21" fillId="0" borderId="13" xfId="0" applyFont="1" applyBorder="1" applyAlignment="1">
      <alignment horizontal="center" vertical="center"/>
    </xf>
    <xf numFmtId="179" fontId="21" fillId="0" borderId="13" xfId="0" applyNumberFormat="1" applyFont="1" applyBorder="1"/>
    <xf numFmtId="180" fontId="21" fillId="9" borderId="13" xfId="0" applyNumberFormat="1" applyFont="1" applyFill="1" applyBorder="1"/>
    <xf numFmtId="180" fontId="21" fillId="0" borderId="13" xfId="0" applyNumberFormat="1" applyFont="1" applyBorder="1"/>
    <xf numFmtId="0" fontId="21" fillId="9" borderId="13" xfId="0" applyFont="1" applyFill="1" applyBorder="1"/>
    <xf numFmtId="0" fontId="21" fillId="0" borderId="13" xfId="0" applyFont="1" applyBorder="1"/>
    <xf numFmtId="0" fontId="22" fillId="0" borderId="0" xfId="0" applyFont="1" applyAlignment="1">
      <alignment horizontal="left" vertical="center" wrapText="1"/>
    </xf>
    <xf numFmtId="0" fontId="21" fillId="9" borderId="13" xfId="0" applyFont="1" applyFill="1" applyBorder="1" applyAlignment="1">
      <alignment horizontal="center" vertical="center" wrapText="1"/>
    </xf>
    <xf numFmtId="0" fontId="21" fillId="9" borderId="13" xfId="0" applyFont="1" applyFill="1" applyBorder="1" applyAlignment="1">
      <alignment horizontal="left" vertical="center" wrapText="1"/>
    </xf>
    <xf numFmtId="0" fontId="23" fillId="9" borderId="13" xfId="0" applyFont="1" applyFill="1" applyBorder="1" applyAlignment="1">
      <alignment horizontal="left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181" fontId="0" fillId="0" borderId="0" xfId="0" applyNumberFormat="1"/>
    <xf numFmtId="0" fontId="24" fillId="0" borderId="0" xfId="0" applyFont="1"/>
    <xf numFmtId="0" fontId="25" fillId="0" borderId="0" xfId="0" applyFont="1"/>
    <xf numFmtId="0" fontId="26" fillId="10" borderId="13" xfId="0" applyFont="1" applyFill="1" applyBorder="1" applyAlignment="1">
      <alignment horizontal="center" vertical="center"/>
    </xf>
    <xf numFmtId="0" fontId="26" fillId="10" borderId="13" xfId="0" applyFont="1" applyFill="1" applyBorder="1"/>
    <xf numFmtId="181" fontId="26" fillId="10" borderId="13" xfId="0" applyNumberFormat="1" applyFont="1" applyFill="1" applyBorder="1"/>
    <xf numFmtId="180" fontId="26" fillId="10" borderId="13" xfId="0" applyNumberFormat="1" applyFont="1" applyFill="1" applyBorder="1"/>
    <xf numFmtId="181" fontId="21" fillId="9" borderId="13" xfId="0" applyNumberFormat="1" applyFont="1" applyFill="1" applyBorder="1"/>
    <xf numFmtId="181" fontId="21" fillId="0" borderId="13" xfId="0" applyNumberFormat="1" applyFont="1" applyBorder="1"/>
    <xf numFmtId="0" fontId="20" fillId="11" borderId="13" xfId="0" applyFont="1" applyFill="1" applyBorder="1" applyAlignment="1">
      <alignment horizontal="center" vertical="center" wrapText="1"/>
    </xf>
    <xf numFmtId="181" fontId="21" fillId="0" borderId="13" xfId="0" applyNumberFormat="1" applyFont="1" applyBorder="1" applyAlignment="1">
      <alignment horizontal="center" vertical="center" wrapText="1"/>
    </xf>
    <xf numFmtId="180" fontId="21" fillId="0" borderId="13" xfId="0" applyNumberFormat="1" applyFont="1" applyBorder="1" applyAlignment="1">
      <alignment horizontal="center" vertical="center" wrapText="1"/>
    </xf>
    <xf numFmtId="0" fontId="26" fillId="0" borderId="13" xfId="0" applyFont="1" applyBorder="1" applyAlignment="1">
      <alignment horizontal="left" vertical="center" wrapText="1"/>
    </xf>
    <xf numFmtId="181" fontId="26" fillId="0" borderId="13" xfId="0" applyNumberFormat="1" applyFont="1" applyBorder="1" applyAlignment="1">
      <alignment horizontal="center" vertical="center" wrapText="1"/>
    </xf>
    <xf numFmtId="180" fontId="26" fillId="0" borderId="13" xfId="0" applyNumberFormat="1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182" fontId="21" fillId="9" borderId="13" xfId="0" applyNumberFormat="1" applyFont="1" applyFill="1" applyBorder="1"/>
    <xf numFmtId="182" fontId="21" fillId="0" borderId="13" xfId="0" applyNumberFormat="1" applyFont="1" applyBorder="1"/>
    <xf numFmtId="182" fontId="26" fillId="10" borderId="13" xfId="0" applyNumberFormat="1" applyFont="1" applyFill="1" applyBorder="1"/>
    <xf numFmtId="0" fontId="26" fillId="9" borderId="13" xfId="0" applyFont="1" applyFill="1" applyBorder="1" applyAlignment="1">
      <alignment horizontal="left" vertical="center" wrapText="1"/>
    </xf>
    <xf numFmtId="0" fontId="0" fillId="9" borderId="13" xfId="0" applyFill="1" applyBorder="1" applyAlignment="1">
      <alignment horizontal="left" vertical="center" wrapText="1"/>
    </xf>
    <xf numFmtId="182" fontId="0" fillId="9" borderId="13" xfId="0" applyNumberFormat="1" applyFill="1" applyBorder="1" applyAlignment="1">
      <alignment horizontal="right" vertical="center" wrapText="1"/>
    </xf>
    <xf numFmtId="180" fontId="0" fillId="9" borderId="13" xfId="0" applyNumberFormat="1" applyFill="1" applyBorder="1" applyAlignment="1">
      <alignment horizontal="center" vertical="center" wrapText="1"/>
    </xf>
    <xf numFmtId="0" fontId="19" fillId="9" borderId="13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182" fontId="0" fillId="0" borderId="13" xfId="0" applyNumberFormat="1" applyBorder="1" applyAlignment="1">
      <alignment horizontal="right" vertical="center" wrapText="1"/>
    </xf>
    <xf numFmtId="180" fontId="0" fillId="0" borderId="13" xfId="0" applyNumberFormat="1" applyBorder="1" applyAlignment="1">
      <alignment horizontal="center" vertical="center" wrapText="1"/>
    </xf>
    <xf numFmtId="0" fontId="19" fillId="0" borderId="13" xfId="0" applyFont="1" applyBorder="1" applyAlignment="1">
      <alignment horizontal="left" vertical="center" wrapText="1"/>
    </xf>
    <xf numFmtId="0" fontId="26" fillId="10" borderId="13" xfId="0" applyFont="1" applyFill="1" applyBorder="1" applyAlignment="1">
      <alignment horizontal="left" vertical="center" wrapText="1"/>
    </xf>
    <xf numFmtId="182" fontId="21" fillId="9" borderId="13" xfId="0" applyNumberFormat="1" applyFont="1" applyFill="1" applyBorder="1" applyAlignment="1">
      <alignment horizontal="right" vertical="center" wrapText="1"/>
    </xf>
    <xf numFmtId="180" fontId="21" fillId="9" borderId="13" xfId="0" applyNumberFormat="1" applyFont="1" applyFill="1" applyBorder="1" applyAlignment="1">
      <alignment horizontal="center" vertical="center" wrapText="1"/>
    </xf>
    <xf numFmtId="2" fontId="21" fillId="9" borderId="13" xfId="0" applyNumberFormat="1" applyFont="1" applyFill="1" applyBorder="1" applyAlignment="1">
      <alignment horizontal="center" vertical="center" wrapText="1"/>
    </xf>
    <xf numFmtId="0" fontId="27" fillId="12" borderId="13" xfId="0" applyFont="1" applyFill="1" applyBorder="1" applyAlignment="1">
      <alignment horizontal="left" vertical="center" wrapText="1"/>
    </xf>
    <xf numFmtId="182" fontId="27" fillId="12" borderId="13" xfId="0" applyNumberFormat="1" applyFont="1" applyFill="1" applyBorder="1" applyAlignment="1">
      <alignment horizontal="right" vertical="center" wrapText="1"/>
    </xf>
    <xf numFmtId="180" fontId="27" fillId="12" borderId="13" xfId="0" applyNumberFormat="1" applyFont="1" applyFill="1" applyBorder="1" applyAlignment="1">
      <alignment horizontal="center" vertical="center" wrapText="1"/>
    </xf>
    <xf numFmtId="2" fontId="27" fillId="12" borderId="13" xfId="0" applyNumberFormat="1" applyFont="1" applyFill="1" applyBorder="1" applyAlignment="1">
      <alignment horizontal="center" vertical="center" wrapText="1"/>
    </xf>
    <xf numFmtId="0" fontId="19" fillId="12" borderId="13" xfId="0" applyFont="1" applyFill="1" applyBorder="1" applyAlignment="1">
      <alignment horizontal="left" vertical="center" wrapText="1"/>
    </xf>
    <xf numFmtId="182" fontId="21" fillId="0" borderId="13" xfId="0" applyNumberFormat="1" applyFont="1" applyBorder="1" applyAlignment="1">
      <alignment horizontal="right" vertical="center" wrapText="1"/>
    </xf>
    <xf numFmtId="2" fontId="21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29" fillId="0" borderId="0" xfId="0" applyFont="1" applyAlignment="1">
      <alignment horizontal="left" vertical="center" wrapText="1"/>
    </xf>
    <xf numFmtId="37" fontId="5" fillId="2" borderId="3" xfId="49" applyFont="1" applyFill="1" applyBorder="1" applyAlignment="1" applyProtection="1" quotePrefix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Trade-financing stock (HK$ million)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 Trade finance trend'!$D$5</c:f>
              <c:strCache>
                <c:ptCount val="1"/>
                <c:pt idx="0">
                  <c:v>Trade finance total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'02 Trade finance trend'!$A$6:$A$12</c:f>
              <c:strCache>
                <c:ptCount val="7"/>
                <c:pt idx="0">
                  <c:v>2021-12</c:v>
                </c:pt>
                <c:pt idx="1">
                  <c:v>2022-12</c:v>
                </c:pt>
                <c:pt idx="2">
                  <c:v>2023-12</c:v>
                </c:pt>
                <c:pt idx="3">
                  <c:v>2024-12</c:v>
                </c:pt>
                <c:pt idx="4">
                  <c:v>2025-06</c:v>
                </c:pt>
                <c:pt idx="5">
                  <c:v>2025-12</c:v>
                </c:pt>
                <c:pt idx="6">
                  <c:v>2026-06</c:v>
                </c:pt>
              </c:strCache>
            </c:strRef>
          </c:cat>
          <c:val>
            <c:numRef>
              <c:f>'02 Trade finance trend'!$D$6:$D$12</c:f>
              <c:numCache>
                <c:formatCode>#,##0.0</c:formatCode>
                <c:ptCount val="7"/>
                <c:pt idx="0">
                  <c:v>485030.245</c:v>
                </c:pt>
                <c:pt idx="1">
                  <c:v>419691.775</c:v>
                </c:pt>
                <c:pt idx="2">
                  <c:v>364625.869</c:v>
                </c:pt>
                <c:pt idx="3">
                  <c:v>381242.868</c:v>
                </c:pt>
                <c:pt idx="4">
                  <c:v>376223.882</c:v>
                </c:pt>
                <c:pt idx="5">
                  <c:v>390780.211</c:v>
                </c:pt>
                <c:pt idx="6">
                  <c:v>436089.191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HK$ million</a:t>
                </a:r>
              </a:p>
            </c:rich>
          </c:tx>
          <c:layout/>
          <c:overlay val="0"/>
        </c:title>
        <c:numFmt formatCode="#,##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ac9673-0441-4d28-847f-48bcd164468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5760000" cy="3222900"/>
    <xdr:graphicFrame>
      <xdr:nvGraphicFramePr>
        <xdr:cNvPr id="2" name="Chart 1"/>
        <xdr:cNvGraphicFramePr/>
      </xdr:nvGraphicFramePr>
      <xdr:xfrm>
        <a:off x="0" y="3558540"/>
        <a:ext cx="5759450" cy="322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STAT/MSB/SUMMARY/new method/D/Macintosh HDYVONNE/971119_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/STAT/MSB/SUMMARY/new method/D/Macintosh HDUsers/david/Downloads/ST201_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_datasummit_backup_2026100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102"/>
      <sheetName val="T103"/>
      <sheetName val="T305"/>
      <sheetName val="T5011"/>
      <sheetName val="T502"/>
      <sheetName val="T208"/>
      <sheetName val="Loan to deposit ratio"/>
      <sheetName val="Foreign reserves"/>
      <sheetName val="86 to 96"/>
      <sheetName val="T202"/>
      <sheetName val="T503"/>
      <sheetName val="T602"/>
      <sheetName val="T301"/>
      <sheetName val="T403"/>
      <sheetName val="T401"/>
      <sheetName val="T5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201"/>
      <sheetName val="ST201_Y"/>
    </sheetNames>
    <definedNames>
      <definedName name="insert" refersTo="=#REF!"/>
    </defined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hart"/>
      <sheetName val="Data Source"/>
      <sheetName val="Hong Kong trade finance lenders"/>
      <sheetName val="1.2"/>
      <sheetName val="3.4.1"/>
      <sheetName val="3.5.1"/>
      <sheetName val="3.13.1"/>
      <sheetName val="Economics Sectors(integrate)"/>
    </sheetNames>
    <sheetDataSet>
      <sheetData sheetId="0"/>
      <sheetData sheetId="1"/>
      <sheetData sheetId="2"/>
      <sheetData sheetId="3"/>
      <sheetData sheetId="4">
        <row r="1">
          <cell r="A1" t="str">
            <v>end_of_month</v>
          </cell>
          <cell r="B1" t="str">
            <v>no_of_ais</v>
          </cell>
          <cell r="C1" t="str">
            <v>total_assets</v>
          </cell>
          <cell r="D1" t="str">
            <v>total_ext_claims</v>
          </cell>
          <cell r="E1" t="str">
            <v>total_ext_liab</v>
          </cell>
          <cell r="F1" t="str">
            <v>cust_deposites_hkd</v>
          </cell>
          <cell r="G1" t="str">
            <v>cust_deposits_fc</v>
          </cell>
          <cell r="H1" t="str">
            <v>cust_deposits_total</v>
          </cell>
          <cell r="I1" t="str">
            <v>loans_in_hk</v>
          </cell>
          <cell r="J1" t="str">
            <v>loans_outside_hk</v>
          </cell>
          <cell r="K1" t="str">
            <v>loans_total</v>
          </cell>
          <cell r="L1" t="str">
            <v>loans_resid_mort_lending</v>
          </cell>
          <cell r="M1" t="str">
            <v>classif_loans</v>
          </cell>
          <cell r="N1" t="str">
            <v>deli_ratio_resid_mort_lend</v>
          </cell>
          <cell r="O1" t="str">
            <v>chroff_ratio_of_crcard_rece</v>
          </cell>
        </row>
        <row r="1">
          <cell r="Q1" t="str">
            <v>HK$Million</v>
          </cell>
        </row>
        <row r="2">
          <cell r="I2" t="str">
            <v>Loans for use in H.K</v>
          </cell>
          <cell r="J2" t="str">
            <v>Loans for use outside H.K.</v>
          </cell>
          <cell r="K2" t="str">
            <v>Total loans and advances</v>
          </cell>
        </row>
        <row r="3">
          <cell r="A3" t="str">
            <v>2026-08</v>
          </cell>
          <cell r="B3">
            <v>174</v>
          </cell>
        </row>
        <row r="4">
          <cell r="A4" t="str">
            <v>2026-07</v>
          </cell>
          <cell r="B4">
            <v>174</v>
          </cell>
          <cell r="C4">
            <v>33352005.161</v>
          </cell>
        </row>
        <row r="4">
          <cell r="F4">
            <v>8641180.404</v>
          </cell>
          <cell r="G4">
            <v>11920846.744</v>
          </cell>
          <cell r="H4">
            <v>20562027.148</v>
          </cell>
          <cell r="I4">
            <v>8070867.022</v>
          </cell>
          <cell r="J4">
            <v>2738987.174</v>
          </cell>
          <cell r="K4">
            <v>10809854.196</v>
          </cell>
          <cell r="L4">
            <v>1963470</v>
          </cell>
        </row>
        <row r="4">
          <cell r="N4">
            <v>0.11</v>
          </cell>
        </row>
        <row r="5">
          <cell r="A5" t="str">
            <v>2026-06</v>
          </cell>
          <cell r="B5">
            <v>174</v>
          </cell>
          <cell r="C5">
            <v>33140208.997</v>
          </cell>
          <cell r="D5">
            <v>19749039</v>
          </cell>
          <cell r="E5">
            <v>12059633</v>
          </cell>
          <cell r="F5">
            <v>8567402.859</v>
          </cell>
          <cell r="G5">
            <v>11813615.909</v>
          </cell>
          <cell r="H5">
            <v>20381018.768</v>
          </cell>
          <cell r="I5">
            <v>8095245.181</v>
          </cell>
          <cell r="J5">
            <v>2692650.531</v>
          </cell>
          <cell r="K5">
            <v>10787895.712</v>
          </cell>
          <cell r="L5">
            <v>1955022</v>
          </cell>
          <cell r="M5">
            <v>1.95966941200205</v>
          </cell>
          <cell r="N5">
            <v>0.11</v>
          </cell>
          <cell r="O5">
            <v>2.45</v>
          </cell>
        </row>
        <row r="6">
          <cell r="A6" t="str">
            <v>2026-05</v>
          </cell>
          <cell r="B6">
            <v>175</v>
          </cell>
          <cell r="C6">
            <v>32694260.682</v>
          </cell>
          <cell r="D6">
            <v>18964652.585</v>
          </cell>
          <cell r="E6">
            <v>12119489.224</v>
          </cell>
          <cell r="F6">
            <v>8492985.342</v>
          </cell>
          <cell r="G6">
            <v>11875531.701</v>
          </cell>
          <cell r="H6">
            <v>20368517.043</v>
          </cell>
          <cell r="I6">
            <v>7981206.28</v>
          </cell>
          <cell r="J6">
            <v>2664945.935</v>
          </cell>
          <cell r="K6">
            <v>10646152.215</v>
          </cell>
          <cell r="L6">
            <v>1946916</v>
          </cell>
        </row>
        <row r="6">
          <cell r="N6">
            <v>0.11</v>
          </cell>
        </row>
        <row r="7">
          <cell r="A7" t="str">
            <v>2026-04</v>
          </cell>
          <cell r="B7">
            <v>175</v>
          </cell>
          <cell r="C7">
            <v>31975046.008</v>
          </cell>
          <cell r="D7">
            <v>18482620.459</v>
          </cell>
          <cell r="E7">
            <v>11885756.04</v>
          </cell>
          <cell r="F7">
            <v>8393181.232</v>
          </cell>
          <cell r="G7">
            <v>11512349.958</v>
          </cell>
          <cell r="H7">
            <v>19905531.19</v>
          </cell>
          <cell r="I7">
            <v>7869195.503</v>
          </cell>
          <cell r="J7">
            <v>2627662.124</v>
          </cell>
          <cell r="K7">
            <v>10496857.627</v>
          </cell>
          <cell r="L7">
            <v>1939561</v>
          </cell>
        </row>
        <row r="7">
          <cell r="N7">
            <v>0.12</v>
          </cell>
        </row>
        <row r="8">
          <cell r="A8" t="str">
            <v>2026-03</v>
          </cell>
          <cell r="B8">
            <v>175</v>
          </cell>
          <cell r="C8">
            <v>31610690.587</v>
          </cell>
          <cell r="D8">
            <v>18444095</v>
          </cell>
          <cell r="E8">
            <v>11503996</v>
          </cell>
          <cell r="F8">
            <v>8289063.083</v>
          </cell>
          <cell r="G8">
            <v>11328273.177</v>
          </cell>
          <cell r="H8">
            <v>19617336.26</v>
          </cell>
          <cell r="I8">
            <v>7861821.785</v>
          </cell>
          <cell r="J8">
            <v>2578456.29</v>
          </cell>
          <cell r="K8">
            <v>10440278.075</v>
          </cell>
          <cell r="L8">
            <v>1934866</v>
          </cell>
          <cell r="M8">
            <v>2.05951690359419</v>
          </cell>
          <cell r="N8">
            <v>0.13</v>
          </cell>
          <cell r="O8">
            <v>2.25</v>
          </cell>
        </row>
        <row r="9">
          <cell r="A9" t="str">
            <v>2026-02</v>
          </cell>
          <cell r="B9">
            <v>175</v>
          </cell>
          <cell r="C9">
            <v>31606316.305</v>
          </cell>
          <cell r="D9">
            <v>18293946.206</v>
          </cell>
          <cell r="E9">
            <v>11647086.233</v>
          </cell>
          <cell r="F9">
            <v>8232336.387</v>
          </cell>
          <cell r="G9">
            <v>11367191.049</v>
          </cell>
          <cell r="H9">
            <v>19599527.436</v>
          </cell>
          <cell r="I9">
            <v>7721916.892</v>
          </cell>
          <cell r="J9">
            <v>2580372.894</v>
          </cell>
          <cell r="K9">
            <v>10302289.786</v>
          </cell>
          <cell r="L9">
            <v>1926330</v>
          </cell>
        </row>
        <row r="9">
          <cell r="N9">
            <v>0.13</v>
          </cell>
        </row>
        <row r="10">
          <cell r="A10" t="str">
            <v>2026-01</v>
          </cell>
          <cell r="B10">
            <v>176</v>
          </cell>
          <cell r="C10">
            <v>31305047.351</v>
          </cell>
          <cell r="D10">
            <v>18136105.766</v>
          </cell>
          <cell r="E10">
            <v>11454207.529</v>
          </cell>
          <cell r="F10">
            <v>8244954.095</v>
          </cell>
          <cell r="G10">
            <v>11174158.827</v>
          </cell>
          <cell r="H10">
            <v>19419112.922</v>
          </cell>
          <cell r="I10">
            <v>7688694.244</v>
          </cell>
          <cell r="J10">
            <v>2556717.233</v>
          </cell>
          <cell r="K10">
            <v>10245411.477</v>
          </cell>
          <cell r="L10">
            <v>1923354</v>
          </cell>
        </row>
        <row r="10">
          <cell r="N10">
            <v>0.13</v>
          </cell>
        </row>
        <row r="11">
          <cell r="A11" t="str">
            <v>2025-12</v>
          </cell>
          <cell r="B11">
            <v>176</v>
          </cell>
          <cell r="C11">
            <v>30637568.452</v>
          </cell>
          <cell r="D11">
            <v>18027007</v>
          </cell>
          <cell r="E11">
            <v>10858537</v>
          </cell>
          <cell r="F11">
            <v>8136778.431</v>
          </cell>
          <cell r="G11">
            <v>11294485.094</v>
          </cell>
          <cell r="H11">
            <v>19431263.525</v>
          </cell>
          <cell r="I11">
            <v>7635305.071</v>
          </cell>
          <cell r="J11">
            <v>2500837.401</v>
          </cell>
          <cell r="K11">
            <v>10136142.472</v>
          </cell>
          <cell r="L11">
            <v>1917499</v>
          </cell>
          <cell r="M11">
            <v>2.19446479339704</v>
          </cell>
          <cell r="N11">
            <v>0.14</v>
          </cell>
          <cell r="O11">
            <v>2.5</v>
          </cell>
        </row>
        <row r="12">
          <cell r="A12" t="str">
            <v>2025-11</v>
          </cell>
          <cell r="B12">
            <v>176</v>
          </cell>
          <cell r="C12">
            <v>30103347.595</v>
          </cell>
          <cell r="D12">
            <v>17428578.393</v>
          </cell>
          <cell r="E12">
            <v>10881447.266</v>
          </cell>
          <cell r="F12">
            <v>8102066.166</v>
          </cell>
          <cell r="G12">
            <v>11101196.191</v>
          </cell>
          <cell r="H12">
            <v>19203262.357</v>
          </cell>
          <cell r="I12">
            <v>7546764.365</v>
          </cell>
          <cell r="J12">
            <v>2455791.411</v>
          </cell>
          <cell r="K12">
            <v>10002555.776</v>
          </cell>
          <cell r="L12">
            <v>1913539</v>
          </cell>
        </row>
        <row r="12">
          <cell r="N12">
            <v>0.14</v>
          </cell>
        </row>
        <row r="13">
          <cell r="A13" t="str">
            <v>2025-10</v>
          </cell>
          <cell r="B13">
            <v>176</v>
          </cell>
          <cell r="C13">
            <v>29719148.734</v>
          </cell>
          <cell r="D13">
            <v>17180342.11</v>
          </cell>
          <cell r="E13">
            <v>10779361.472</v>
          </cell>
          <cell r="F13">
            <v>8083717.367</v>
          </cell>
          <cell r="G13">
            <v>10976794.334</v>
          </cell>
          <cell r="H13">
            <v>19060511.701</v>
          </cell>
          <cell r="I13">
            <v>7551750.302</v>
          </cell>
          <cell r="J13">
            <v>2445317.214</v>
          </cell>
          <cell r="K13">
            <v>9997067.516</v>
          </cell>
          <cell r="L13">
            <v>1907407</v>
          </cell>
        </row>
        <row r="13">
          <cell r="N13">
            <v>0.13</v>
          </cell>
        </row>
        <row r="14">
          <cell r="A14" t="str">
            <v>2025-09</v>
          </cell>
          <cell r="B14">
            <v>176</v>
          </cell>
          <cell r="C14">
            <v>30022230.763</v>
          </cell>
          <cell r="D14">
            <v>17345507</v>
          </cell>
          <cell r="E14">
            <v>10578398</v>
          </cell>
          <cell r="F14">
            <v>8159087.824</v>
          </cell>
          <cell r="G14">
            <v>10985365.491</v>
          </cell>
          <cell r="H14">
            <v>19144453.315</v>
          </cell>
          <cell r="I14">
            <v>7617255.615</v>
          </cell>
          <cell r="J14">
            <v>2451320.473</v>
          </cell>
          <cell r="K14">
            <v>10068576.088</v>
          </cell>
          <cell r="L14">
            <v>1891402</v>
          </cell>
          <cell r="M14">
            <v>2.14303866300739</v>
          </cell>
          <cell r="N14">
            <v>0.13</v>
          </cell>
          <cell r="O14">
            <v>2.57</v>
          </cell>
        </row>
        <row r="15">
          <cell r="A15" t="str">
            <v>2025-08</v>
          </cell>
          <cell r="B15">
            <v>176</v>
          </cell>
          <cell r="C15">
            <v>29751686.43</v>
          </cell>
          <cell r="D15">
            <v>17043373.789</v>
          </cell>
          <cell r="E15">
            <v>10741681.181</v>
          </cell>
          <cell r="F15">
            <v>8045178.381</v>
          </cell>
          <cell r="G15">
            <v>10847152.759</v>
          </cell>
          <cell r="H15">
            <v>18892331.14</v>
          </cell>
          <cell r="I15">
            <v>7570020.563</v>
          </cell>
          <cell r="J15">
            <v>2433495.815</v>
          </cell>
          <cell r="K15">
            <v>10003516.378</v>
          </cell>
          <cell r="L15">
            <v>1888314</v>
          </cell>
        </row>
        <row r="15">
          <cell r="N15">
            <v>0.13</v>
          </cell>
        </row>
        <row r="16">
          <cell r="A16" t="str">
            <v>2025-07</v>
          </cell>
          <cell r="B16">
            <v>175</v>
          </cell>
          <cell r="C16">
            <v>29633336.633</v>
          </cell>
          <cell r="D16">
            <v>16988948.305</v>
          </cell>
          <cell r="E16">
            <v>10818121.122</v>
          </cell>
          <cell r="F16">
            <v>8221343.91</v>
          </cell>
          <cell r="G16">
            <v>10505291.167</v>
          </cell>
          <cell r="H16">
            <v>18726635.077</v>
          </cell>
          <cell r="I16">
            <v>7577126.273</v>
          </cell>
          <cell r="J16">
            <v>2464434.154</v>
          </cell>
          <cell r="K16">
            <v>10041560.427</v>
          </cell>
          <cell r="L16">
            <v>1887335</v>
          </cell>
        </row>
        <row r="16">
          <cell r="N16">
            <v>0.13</v>
          </cell>
        </row>
        <row r="17">
          <cell r="A17" t="str">
            <v>2025-06</v>
          </cell>
          <cell r="B17">
            <v>175</v>
          </cell>
          <cell r="C17">
            <v>29846236.782</v>
          </cell>
          <cell r="D17">
            <v>17077498</v>
          </cell>
          <cell r="E17">
            <v>10716437</v>
          </cell>
          <cell r="F17">
            <v>8386245.864</v>
          </cell>
          <cell r="G17">
            <v>10312216.251</v>
          </cell>
          <cell r="H17">
            <v>18698462.115</v>
          </cell>
          <cell r="I17">
            <v>7650101.444</v>
          </cell>
          <cell r="J17">
            <v>2508279.951</v>
          </cell>
          <cell r="K17">
            <v>10158381.395</v>
          </cell>
          <cell r="L17">
            <v>1885559</v>
          </cell>
          <cell r="M17">
            <v>2.13487579234569</v>
          </cell>
          <cell r="N17">
            <v>0.13</v>
          </cell>
          <cell r="O17">
            <v>2.57</v>
          </cell>
        </row>
        <row r="18">
          <cell r="A18" t="str">
            <v>2025-00</v>
          </cell>
          <cell r="B18">
            <v>176</v>
          </cell>
          <cell r="C18">
            <v>30637568.452</v>
          </cell>
          <cell r="D18">
            <v>18027007</v>
          </cell>
          <cell r="E18">
            <v>10858537</v>
          </cell>
          <cell r="F18">
            <v>8136778.431</v>
          </cell>
          <cell r="G18">
            <v>11294485.094</v>
          </cell>
          <cell r="H18">
            <v>19431263.525</v>
          </cell>
          <cell r="I18">
            <v>7635305.071</v>
          </cell>
          <cell r="J18">
            <v>2500837.401</v>
          </cell>
          <cell r="K18">
            <v>10136142.472</v>
          </cell>
          <cell r="L18">
            <v>1917499</v>
          </cell>
          <cell r="M18">
            <v>2.19446479339704</v>
          </cell>
          <cell r="N18">
            <v>0.14</v>
          </cell>
          <cell r="O18">
            <v>2.37</v>
          </cell>
        </row>
        <row r="19">
          <cell r="A19" t="str">
            <v>2024-00</v>
          </cell>
          <cell r="B19">
            <v>176</v>
          </cell>
          <cell r="C19">
            <v>28457222.815</v>
          </cell>
          <cell r="D19">
            <v>16028131</v>
          </cell>
          <cell r="E19">
            <v>10458537</v>
          </cell>
          <cell r="F19">
            <v>7839207.395</v>
          </cell>
          <cell r="G19">
            <v>9533510.261</v>
          </cell>
          <cell r="H19">
            <v>17372717.656</v>
          </cell>
          <cell r="I19">
            <v>7489982.206</v>
          </cell>
          <cell r="J19">
            <v>2417825.776</v>
          </cell>
          <cell r="K19">
            <v>9907807.982</v>
          </cell>
          <cell r="L19">
            <v>1870642</v>
          </cell>
          <cell r="M19">
            <v>2.17888566981418</v>
          </cell>
          <cell r="N19">
            <v>0.11</v>
          </cell>
          <cell r="O19">
            <v>2.18</v>
          </cell>
        </row>
        <row r="20">
          <cell r="A20" t="str">
            <v>2023-00</v>
          </cell>
          <cell r="B20">
            <v>179</v>
          </cell>
          <cell r="C20">
            <v>27283034.139</v>
          </cell>
          <cell r="D20">
            <v>14620985</v>
          </cell>
          <cell r="E20">
            <v>10394505</v>
          </cell>
          <cell r="F20">
            <v>7623772.335</v>
          </cell>
          <cell r="G20">
            <v>8598297.372</v>
          </cell>
          <cell r="H20">
            <v>16222069.707</v>
          </cell>
          <cell r="I20">
            <v>7627950.886</v>
          </cell>
          <cell r="J20">
            <v>2563364.555</v>
          </cell>
          <cell r="K20">
            <v>10191315.441</v>
          </cell>
          <cell r="L20">
            <v>1855080</v>
          </cell>
          <cell r="M20">
            <v>1.68208057995994</v>
          </cell>
          <cell r="N20">
            <v>0.08</v>
          </cell>
          <cell r="O20">
            <v>1.74</v>
          </cell>
        </row>
        <row r="21">
          <cell r="A21" t="str">
            <v>2022-00</v>
          </cell>
          <cell r="B21">
            <v>182</v>
          </cell>
          <cell r="C21">
            <v>27031411.368</v>
          </cell>
          <cell r="D21">
            <v>14249254</v>
          </cell>
          <cell r="E21">
            <v>10698112</v>
          </cell>
          <cell r="F21">
            <v>7468229.867</v>
          </cell>
          <cell r="G21">
            <v>7971455.396</v>
          </cell>
          <cell r="H21">
            <v>15439685.263</v>
          </cell>
          <cell r="I21">
            <v>7710340.602</v>
          </cell>
          <cell r="J21">
            <v>2860957.143</v>
          </cell>
          <cell r="K21">
            <v>10571297.745</v>
          </cell>
          <cell r="L21">
            <v>1809906</v>
          </cell>
          <cell r="M21">
            <v>1.41778668921543</v>
          </cell>
          <cell r="N21">
            <v>0.06</v>
          </cell>
          <cell r="O21">
            <v>1.49</v>
          </cell>
        </row>
        <row r="22">
          <cell r="A22" t="str">
            <v>2021-00</v>
          </cell>
          <cell r="B22">
            <v>188</v>
          </cell>
          <cell r="C22">
            <v>26367228.051</v>
          </cell>
          <cell r="D22">
            <v>13592959</v>
          </cell>
          <cell r="E22">
            <v>10725207</v>
          </cell>
          <cell r="F22">
            <v>7414380.908</v>
          </cell>
          <cell r="G22">
            <v>7771839.263</v>
          </cell>
          <cell r="H22">
            <v>15186220.171</v>
          </cell>
          <cell r="I22">
            <v>7712295.503</v>
          </cell>
          <cell r="J22">
            <v>3180851.767</v>
          </cell>
          <cell r="K22">
            <v>10893147.27</v>
          </cell>
          <cell r="L22">
            <v>1736412</v>
          </cell>
          <cell r="M22">
            <v>0.847853954850662</v>
          </cell>
          <cell r="N22">
            <v>0.04</v>
          </cell>
          <cell r="O22">
            <v>1.75</v>
          </cell>
        </row>
      </sheetData>
      <sheetData sheetId="5">
        <row r="1">
          <cell r="A1" t="str">
            <v>end_of_month</v>
          </cell>
          <cell r="B1" t="str">
            <v>imp_exp_reexp_fromhk_hkd</v>
          </cell>
          <cell r="C1" t="str">
            <v>imp_exp_reexp_fromhk_fc</v>
          </cell>
          <cell r="D1" t="str">
            <v>imp_exp_reexp_fromhk_total</v>
          </cell>
          <cell r="E1" t="str">
            <v>merch_trade_nonhk_hkd</v>
          </cell>
          <cell r="F1" t="str">
            <v>merch_trade_nonhk_fc</v>
          </cell>
          <cell r="G1" t="str">
            <v>merch_trade_nonhk_total</v>
          </cell>
          <cell r="H1" t="str">
            <v>loans_inhk_hkd</v>
          </cell>
          <cell r="I1" t="str">
            <v>loans_inhk_fc</v>
          </cell>
          <cell r="J1" t="str">
            <v>loans_inhk_total</v>
          </cell>
          <cell r="K1" t="str">
            <v>other_loans_outhk_hkd</v>
          </cell>
          <cell r="L1" t="str">
            <v>other_loans_outhk_fc</v>
          </cell>
          <cell r="M1" t="str">
            <v>other_loans_outhk_total</v>
          </cell>
          <cell r="N1" t="str">
            <v>other_loans_unkplace_hkd</v>
          </cell>
          <cell r="O1" t="str">
            <v>other_loans_unkplace_fc</v>
          </cell>
          <cell r="P1" t="str">
            <v>other_loans_unkplace_total</v>
          </cell>
          <cell r="Q1" t="str">
            <v>total_loans_hkd</v>
          </cell>
          <cell r="R1" t="str">
            <v>total_loans_fc</v>
          </cell>
          <cell r="S1" t="str">
            <v>total_loans</v>
          </cell>
        </row>
        <row r="1">
          <cell r="U1" t="str">
            <v>HK$Million</v>
          </cell>
        </row>
        <row r="2">
          <cell r="B2" t="str">
            <v>香港貨物的出入口及轉口融資  </v>
          </cell>
        </row>
        <row r="2">
          <cell r="E2" t="str">
            <v>香港境外的商品貿易融資</v>
          </cell>
        </row>
        <row r="2">
          <cell r="K2" t="str">
            <v>Other loans for use outside H.K.</v>
          </cell>
        </row>
        <row r="2">
          <cell r="N2" t="str">
            <v>Loans for use outside H.K.</v>
          </cell>
        </row>
        <row r="3">
          <cell r="A3" t="str">
            <v>2026-07</v>
          </cell>
          <cell r="B3">
            <v>56511.102</v>
          </cell>
          <cell r="C3">
            <v>193800.707</v>
          </cell>
          <cell r="D3">
            <v>250311.809</v>
          </cell>
          <cell r="E3">
            <v>13053.365</v>
          </cell>
          <cell r="F3">
            <v>158463.417</v>
          </cell>
          <cell r="G3">
            <v>171516.782</v>
          </cell>
          <cell r="H3">
            <v>5580470.652</v>
          </cell>
          <cell r="I3">
            <v>2068567.779</v>
          </cell>
          <cell r="J3">
            <v>7649038.431</v>
          </cell>
          <cell r="K3">
            <v>461086.162</v>
          </cell>
          <cell r="L3">
            <v>2277869.484</v>
          </cell>
          <cell r="M3">
            <v>2738955.646</v>
          </cell>
          <cell r="N3">
            <v>0.6</v>
          </cell>
          <cell r="O3">
            <v>30.928</v>
          </cell>
          <cell r="P3">
            <v>31.528</v>
          </cell>
          <cell r="Q3">
            <v>6111121.881</v>
          </cell>
          <cell r="R3">
            <v>4698732.315</v>
          </cell>
          <cell r="S3">
            <v>10809854.196</v>
          </cell>
        </row>
        <row r="4">
          <cell r="A4" t="str">
            <v>2026-06</v>
          </cell>
          <cell r="B4">
            <v>57111.395</v>
          </cell>
          <cell r="C4">
            <v>205705.762</v>
          </cell>
          <cell r="D4">
            <v>262817.157</v>
          </cell>
          <cell r="E4">
            <v>12780.198</v>
          </cell>
          <cell r="F4">
            <v>160491.836</v>
          </cell>
          <cell r="G4">
            <v>173272.034</v>
          </cell>
          <cell r="H4">
            <v>5589675.382</v>
          </cell>
          <cell r="I4">
            <v>2069480.608</v>
          </cell>
          <cell r="J4">
            <v>7659155.99</v>
          </cell>
          <cell r="K4">
            <v>464027.085</v>
          </cell>
          <cell r="L4">
            <v>2228592.104</v>
          </cell>
          <cell r="M4">
            <v>2692619.189</v>
          </cell>
          <cell r="N4">
            <v>0.6</v>
          </cell>
          <cell r="O4">
            <v>30.742</v>
          </cell>
          <cell r="P4">
            <v>31.342</v>
          </cell>
          <cell r="Q4">
            <v>6123594.66</v>
          </cell>
          <cell r="R4">
            <v>4664301.052</v>
          </cell>
          <cell r="S4">
            <v>10787895.712</v>
          </cell>
        </row>
        <row r="5">
          <cell r="A5" t="str">
            <v>2026-05</v>
          </cell>
          <cell r="B5">
            <v>57013.091</v>
          </cell>
          <cell r="C5">
            <v>186630.306</v>
          </cell>
          <cell r="D5">
            <v>243643.397</v>
          </cell>
          <cell r="E5">
            <v>12466.324</v>
          </cell>
          <cell r="F5">
            <v>158653.296</v>
          </cell>
          <cell r="G5">
            <v>171119.62</v>
          </cell>
          <cell r="H5">
            <v>5488152.224</v>
          </cell>
          <cell r="I5">
            <v>2078291.039</v>
          </cell>
          <cell r="J5">
            <v>7566443.263</v>
          </cell>
          <cell r="K5">
            <v>470172.592</v>
          </cell>
          <cell r="L5">
            <v>2194751.128</v>
          </cell>
          <cell r="M5">
            <v>2664923.72</v>
          </cell>
          <cell r="N5">
            <v>0.6</v>
          </cell>
          <cell r="O5">
            <v>21.615</v>
          </cell>
          <cell r="P5">
            <v>22.215</v>
          </cell>
          <cell r="Q5">
            <v>6027804.831</v>
          </cell>
          <cell r="R5">
            <v>4618347.384</v>
          </cell>
          <cell r="S5">
            <v>10646152.215</v>
          </cell>
        </row>
        <row r="6">
          <cell r="A6" t="str">
            <v>2026-04</v>
          </cell>
          <cell r="B6">
            <v>59126.986</v>
          </cell>
          <cell r="C6">
            <v>173799.623</v>
          </cell>
          <cell r="D6">
            <v>232926.609</v>
          </cell>
          <cell r="E6">
            <v>11984.01</v>
          </cell>
          <cell r="F6">
            <v>160556.361</v>
          </cell>
          <cell r="G6">
            <v>172540.371</v>
          </cell>
          <cell r="H6">
            <v>5472828.586</v>
          </cell>
          <cell r="I6">
            <v>1990899.937</v>
          </cell>
          <cell r="J6">
            <v>7463728.523</v>
          </cell>
          <cell r="K6">
            <v>467276.184</v>
          </cell>
          <cell r="L6">
            <v>2160366.174</v>
          </cell>
          <cell r="M6">
            <v>2627642.358</v>
          </cell>
          <cell r="N6">
            <v>0.6</v>
          </cell>
          <cell r="O6">
            <v>19.166</v>
          </cell>
          <cell r="P6">
            <v>19.766</v>
          </cell>
          <cell r="Q6">
            <v>6011216.366</v>
          </cell>
          <cell r="R6">
            <v>4485641.261</v>
          </cell>
          <cell r="S6">
            <v>10496857.627</v>
          </cell>
        </row>
        <row r="7">
          <cell r="A7" t="str">
            <v>2026-03</v>
          </cell>
          <cell r="B7">
            <v>59339.624</v>
          </cell>
          <cell r="C7">
            <v>182422.148</v>
          </cell>
          <cell r="D7">
            <v>241761.772</v>
          </cell>
          <cell r="E7">
            <v>11972.022</v>
          </cell>
          <cell r="F7">
            <v>167767.316</v>
          </cell>
          <cell r="G7">
            <v>179739.338</v>
          </cell>
          <cell r="H7">
            <v>5461882.463</v>
          </cell>
          <cell r="I7">
            <v>1978438.212</v>
          </cell>
          <cell r="J7">
            <v>7440320.675</v>
          </cell>
          <cell r="K7">
            <v>460527.646</v>
          </cell>
          <cell r="L7">
            <v>2117906.48</v>
          </cell>
          <cell r="M7">
            <v>2578434.126</v>
          </cell>
          <cell r="N7">
            <v>0.6</v>
          </cell>
          <cell r="O7">
            <v>21.564</v>
          </cell>
          <cell r="P7">
            <v>22.164</v>
          </cell>
          <cell r="Q7">
            <v>5993722.355</v>
          </cell>
          <cell r="R7">
            <v>4446555.72</v>
          </cell>
          <cell r="S7">
            <v>10440278.075</v>
          </cell>
        </row>
        <row r="8">
          <cell r="A8" t="str">
            <v>2026-02</v>
          </cell>
          <cell r="B8">
            <v>58040.729</v>
          </cell>
          <cell r="C8">
            <v>172201.211</v>
          </cell>
          <cell r="D8">
            <v>230241.94</v>
          </cell>
          <cell r="E8">
            <v>13041.727</v>
          </cell>
          <cell r="F8">
            <v>126050.452</v>
          </cell>
          <cell r="G8">
            <v>139092.179</v>
          </cell>
          <cell r="H8">
            <v>5431952.463</v>
          </cell>
          <cell r="I8">
            <v>1920630.31</v>
          </cell>
          <cell r="J8">
            <v>7352582.773</v>
          </cell>
          <cell r="K8">
            <v>457349.193</v>
          </cell>
          <cell r="L8">
            <v>2122924.978</v>
          </cell>
          <cell r="M8">
            <v>2580274.171</v>
          </cell>
          <cell r="N8">
            <v>0.9</v>
          </cell>
          <cell r="O8">
            <v>97.823</v>
          </cell>
          <cell r="P8">
            <v>98.723</v>
          </cell>
          <cell r="Q8">
            <v>5960385.012</v>
          </cell>
          <cell r="R8">
            <v>4341904.774</v>
          </cell>
          <cell r="S8">
            <v>10302289.786</v>
          </cell>
        </row>
        <row r="9">
          <cell r="A9" t="str">
            <v>2026-01</v>
          </cell>
          <cell r="B9">
            <v>58057.961</v>
          </cell>
          <cell r="C9">
            <v>166061.314</v>
          </cell>
          <cell r="D9">
            <v>224119.275</v>
          </cell>
          <cell r="E9">
            <v>13924.763</v>
          </cell>
          <cell r="F9">
            <v>121553.739</v>
          </cell>
          <cell r="G9">
            <v>135478.502</v>
          </cell>
          <cell r="H9">
            <v>5430504.176</v>
          </cell>
          <cell r="I9">
            <v>1898592.291</v>
          </cell>
          <cell r="J9">
            <v>7329096.467</v>
          </cell>
          <cell r="K9">
            <v>459704.009</v>
          </cell>
          <cell r="L9">
            <v>2096914.473</v>
          </cell>
          <cell r="M9">
            <v>2556618.482</v>
          </cell>
          <cell r="N9">
            <v>0.9</v>
          </cell>
          <cell r="O9">
            <v>97.851</v>
          </cell>
          <cell r="P9">
            <v>98.751</v>
          </cell>
          <cell r="Q9">
            <v>5962191.809</v>
          </cell>
          <cell r="R9">
            <v>4283219.668</v>
          </cell>
          <cell r="S9">
            <v>10245411.477</v>
          </cell>
        </row>
        <row r="10">
          <cell r="A10" t="str">
            <v>2025-12</v>
          </cell>
          <cell r="B10">
            <v>55987.338</v>
          </cell>
          <cell r="C10">
            <v>186177.144</v>
          </cell>
          <cell r="D10">
            <v>242164.482</v>
          </cell>
          <cell r="E10">
            <v>14415.68</v>
          </cell>
          <cell r="F10">
            <v>134200.049</v>
          </cell>
          <cell r="G10">
            <v>148615.729</v>
          </cell>
          <cell r="H10">
            <v>5408698.15</v>
          </cell>
          <cell r="I10">
            <v>1835826.71</v>
          </cell>
          <cell r="J10">
            <v>7244524.86</v>
          </cell>
          <cell r="K10">
            <v>455370.154</v>
          </cell>
          <cell r="L10">
            <v>2045357.51</v>
          </cell>
          <cell r="M10">
            <v>2500727.664</v>
          </cell>
          <cell r="N10">
            <v>0.9</v>
          </cell>
          <cell r="O10">
            <v>108.837</v>
          </cell>
          <cell r="P10">
            <v>109.737</v>
          </cell>
          <cell r="Q10">
            <v>5934472.222</v>
          </cell>
          <cell r="R10">
            <v>4201670.25</v>
          </cell>
          <cell r="S10">
            <v>10136142.472</v>
          </cell>
        </row>
        <row r="11">
          <cell r="A11" t="str">
            <v>2025-11</v>
          </cell>
          <cell r="B11">
            <v>58570.371</v>
          </cell>
          <cell r="C11">
            <v>154966.043</v>
          </cell>
          <cell r="D11">
            <v>213536.414</v>
          </cell>
          <cell r="E11">
            <v>13974.943</v>
          </cell>
          <cell r="F11">
            <v>116204.607</v>
          </cell>
          <cell r="G11">
            <v>130179.55</v>
          </cell>
          <cell r="H11">
            <v>5391482.45</v>
          </cell>
          <cell r="I11">
            <v>1811565.951</v>
          </cell>
          <cell r="J11">
            <v>7203048.401</v>
          </cell>
          <cell r="K11">
            <v>466237.076</v>
          </cell>
          <cell r="L11">
            <v>1989444.555</v>
          </cell>
          <cell r="M11">
            <v>2455681.631</v>
          </cell>
          <cell r="N11">
            <v>0.9</v>
          </cell>
          <cell r="O11">
            <v>108.88</v>
          </cell>
          <cell r="P11">
            <v>109.78</v>
          </cell>
          <cell r="Q11">
            <v>5930265.74</v>
          </cell>
          <cell r="R11">
            <v>4072290.036</v>
          </cell>
          <cell r="S11">
            <v>10002555.776</v>
          </cell>
        </row>
        <row r="12">
          <cell r="A12" t="str">
            <v>2025-10</v>
          </cell>
          <cell r="B12">
            <v>57795.635</v>
          </cell>
          <cell r="C12">
            <v>153915.665</v>
          </cell>
          <cell r="D12">
            <v>211711.3</v>
          </cell>
          <cell r="E12">
            <v>14483.044</v>
          </cell>
          <cell r="F12">
            <v>113621.162</v>
          </cell>
          <cell r="G12">
            <v>128104.206</v>
          </cell>
          <cell r="H12">
            <v>5414751.567</v>
          </cell>
          <cell r="I12">
            <v>1797183.229</v>
          </cell>
          <cell r="J12">
            <v>7211934.796</v>
          </cell>
          <cell r="K12">
            <v>462621.345</v>
          </cell>
          <cell r="L12">
            <v>1982597.622</v>
          </cell>
          <cell r="M12">
            <v>2445218.967</v>
          </cell>
          <cell r="N12">
            <v>0.9</v>
          </cell>
          <cell r="O12">
            <v>97.347</v>
          </cell>
          <cell r="P12">
            <v>98.247</v>
          </cell>
          <cell r="Q12">
            <v>5949652.491</v>
          </cell>
          <cell r="R12">
            <v>4047415.025</v>
          </cell>
          <cell r="S12">
            <v>9997067.516</v>
          </cell>
        </row>
        <row r="13">
          <cell r="A13" t="str">
            <v>2025-09</v>
          </cell>
          <cell r="B13">
            <v>61251.15</v>
          </cell>
          <cell r="C13">
            <v>166019.305</v>
          </cell>
          <cell r="D13">
            <v>227270.455</v>
          </cell>
          <cell r="E13">
            <v>15221.531</v>
          </cell>
          <cell r="F13">
            <v>131263.175</v>
          </cell>
          <cell r="G13">
            <v>146484.706</v>
          </cell>
          <cell r="H13">
            <v>5452569.993</v>
          </cell>
          <cell r="I13">
            <v>1790930.461</v>
          </cell>
          <cell r="J13">
            <v>7243500.454</v>
          </cell>
          <cell r="K13">
            <v>472306.647</v>
          </cell>
          <cell r="L13">
            <v>1978905.533</v>
          </cell>
          <cell r="M13">
            <v>2451212.18</v>
          </cell>
          <cell r="N13">
            <v>0.9</v>
          </cell>
          <cell r="O13">
            <v>107.393</v>
          </cell>
          <cell r="P13">
            <v>108.293</v>
          </cell>
          <cell r="Q13">
            <v>6001350.221</v>
          </cell>
          <cell r="R13">
            <v>4067225.867</v>
          </cell>
          <cell r="S13">
            <v>10068576.088</v>
          </cell>
        </row>
        <row r="14">
          <cell r="A14" t="str">
            <v>2025-08</v>
          </cell>
          <cell r="B14">
            <v>64970.17</v>
          </cell>
          <cell r="C14">
            <v>148628.359</v>
          </cell>
          <cell r="D14">
            <v>213598.529</v>
          </cell>
          <cell r="E14">
            <v>15025.371</v>
          </cell>
          <cell r="F14">
            <v>121429.411</v>
          </cell>
          <cell r="G14">
            <v>136454.782</v>
          </cell>
          <cell r="H14">
            <v>5433198.161</v>
          </cell>
          <cell r="I14">
            <v>1786769.091</v>
          </cell>
          <cell r="J14">
            <v>7219967.252</v>
          </cell>
          <cell r="K14">
            <v>489457.9</v>
          </cell>
          <cell r="L14">
            <v>1943926.614</v>
          </cell>
          <cell r="M14">
            <v>2433384.514</v>
          </cell>
          <cell r="N14">
            <v>1.2</v>
          </cell>
          <cell r="O14">
            <v>110.101</v>
          </cell>
          <cell r="P14">
            <v>111.301</v>
          </cell>
          <cell r="Q14">
            <v>6002652.802</v>
          </cell>
          <cell r="R14">
            <v>4000863.576</v>
          </cell>
          <cell r="S14">
            <v>10003516.378</v>
          </cell>
        </row>
        <row r="15">
          <cell r="A15" t="str">
            <v>2025-07</v>
          </cell>
          <cell r="B15">
            <v>65997.963</v>
          </cell>
          <cell r="C15">
            <v>155758.695</v>
          </cell>
          <cell r="D15">
            <v>221756.658</v>
          </cell>
          <cell r="E15">
            <v>14073.304</v>
          </cell>
          <cell r="F15">
            <v>124333.809</v>
          </cell>
          <cell r="G15">
            <v>138407.113</v>
          </cell>
          <cell r="H15">
            <v>5429428.707</v>
          </cell>
          <cell r="I15">
            <v>1787533.795</v>
          </cell>
          <cell r="J15">
            <v>7216962.502</v>
          </cell>
          <cell r="K15">
            <v>497500.836</v>
          </cell>
          <cell r="L15">
            <v>1966825.414</v>
          </cell>
          <cell r="M15">
            <v>2464326.25</v>
          </cell>
          <cell r="N15">
            <v>1.2</v>
          </cell>
          <cell r="O15">
            <v>106.704</v>
          </cell>
          <cell r="P15">
            <v>107.904</v>
          </cell>
          <cell r="Q15">
            <v>6007002.01</v>
          </cell>
          <cell r="R15">
            <v>4034558.417</v>
          </cell>
          <cell r="S15">
            <v>10041560.427</v>
          </cell>
        </row>
        <row r="16">
          <cell r="A16" t="str">
            <v>2025-06</v>
          </cell>
          <cell r="B16">
            <v>64711.344</v>
          </cell>
          <cell r="C16">
            <v>159163.174</v>
          </cell>
          <cell r="D16">
            <v>223874.518</v>
          </cell>
          <cell r="E16">
            <v>13226.637</v>
          </cell>
          <cell r="F16">
            <v>139122.727</v>
          </cell>
          <cell r="G16">
            <v>152349.364</v>
          </cell>
          <cell r="H16">
            <v>5464932.407</v>
          </cell>
          <cell r="I16">
            <v>1808945.155</v>
          </cell>
          <cell r="J16">
            <v>7273877.562</v>
          </cell>
          <cell r="K16">
            <v>492831.535</v>
          </cell>
          <cell r="L16">
            <v>2015341.516</v>
          </cell>
          <cell r="M16">
            <v>2508173.051</v>
          </cell>
          <cell r="N16">
            <v>1.2</v>
          </cell>
          <cell r="O16">
            <v>105.7</v>
          </cell>
          <cell r="P16">
            <v>106.9</v>
          </cell>
          <cell r="Q16">
            <v>6035703.123</v>
          </cell>
          <cell r="R16">
            <v>4122678.272</v>
          </cell>
          <cell r="S16">
            <v>10158381.395</v>
          </cell>
        </row>
        <row r="17">
          <cell r="A17" t="str">
            <v>2025-05</v>
          </cell>
          <cell r="B17">
            <v>61112.11</v>
          </cell>
          <cell r="C17">
            <v>151717.505</v>
          </cell>
          <cell r="D17">
            <v>212829.615</v>
          </cell>
          <cell r="E17">
            <v>12028.665</v>
          </cell>
          <cell r="F17">
            <v>132515.007</v>
          </cell>
          <cell r="G17">
            <v>144543.672</v>
          </cell>
          <cell r="H17">
            <v>5400196.119</v>
          </cell>
          <cell r="I17">
            <v>1826578.668</v>
          </cell>
          <cell r="J17">
            <v>7226774.787</v>
          </cell>
          <cell r="K17">
            <v>493877.12</v>
          </cell>
          <cell r="L17">
            <v>1969365.999</v>
          </cell>
          <cell r="M17">
            <v>2463243.119</v>
          </cell>
          <cell r="N17">
            <v>1.2</v>
          </cell>
          <cell r="O17">
            <v>99.848</v>
          </cell>
          <cell r="P17">
            <v>101.048</v>
          </cell>
          <cell r="Q17">
            <v>5967215.214</v>
          </cell>
          <cell r="R17">
            <v>4080277.027</v>
          </cell>
          <cell r="S17">
            <v>10047492.241</v>
          </cell>
        </row>
        <row r="18">
          <cell r="A18" t="str">
            <v>2025-04</v>
          </cell>
          <cell r="B18">
            <v>53341.848</v>
          </cell>
          <cell r="C18">
            <v>159144.003</v>
          </cell>
          <cell r="D18">
            <v>212485.851</v>
          </cell>
          <cell r="E18">
            <v>10841.517</v>
          </cell>
          <cell r="F18">
            <v>136949.693</v>
          </cell>
          <cell r="G18">
            <v>147791.21</v>
          </cell>
          <cell r="H18">
            <v>5362300.075</v>
          </cell>
          <cell r="I18">
            <v>1797400.613</v>
          </cell>
          <cell r="J18">
            <v>7159700.688</v>
          </cell>
          <cell r="K18">
            <v>491687.52</v>
          </cell>
          <cell r="L18">
            <v>1944294.813</v>
          </cell>
          <cell r="M18">
            <v>2435982.333</v>
          </cell>
          <cell r="N18">
            <v>1.2</v>
          </cell>
          <cell r="O18">
            <v>98.985</v>
          </cell>
          <cell r="P18">
            <v>100.185</v>
          </cell>
          <cell r="Q18">
            <v>5918172.16</v>
          </cell>
          <cell r="R18">
            <v>4037888.107</v>
          </cell>
          <cell r="S18">
            <v>9956060.267</v>
          </cell>
        </row>
        <row r="19">
          <cell r="A19" t="str">
            <v>2025-03</v>
          </cell>
          <cell r="B19">
            <v>56311.861</v>
          </cell>
          <cell r="C19">
            <v>161132.049</v>
          </cell>
          <cell r="D19">
            <v>217443.91</v>
          </cell>
          <cell r="E19">
            <v>11223.075</v>
          </cell>
          <cell r="F19">
            <v>134816.5</v>
          </cell>
          <cell r="G19">
            <v>146039.575</v>
          </cell>
          <cell r="H19">
            <v>5388131.148</v>
          </cell>
          <cell r="I19">
            <v>1776009.389</v>
          </cell>
          <cell r="J19">
            <v>7164140.537</v>
          </cell>
          <cell r="K19">
            <v>500871.585</v>
          </cell>
          <cell r="L19">
            <v>1942874.302</v>
          </cell>
          <cell r="M19">
            <v>2443745.887</v>
          </cell>
          <cell r="N19">
            <v>1.2</v>
          </cell>
          <cell r="O19">
            <v>98.411</v>
          </cell>
          <cell r="P19">
            <v>99.611</v>
          </cell>
          <cell r="Q19">
            <v>5956538.869</v>
          </cell>
          <cell r="R19">
            <v>4014930.651</v>
          </cell>
          <cell r="S19">
            <v>9971469.52</v>
          </cell>
        </row>
        <row r="20">
          <cell r="A20" t="str">
            <v>2025-02</v>
          </cell>
          <cell r="B20">
            <v>57427.109</v>
          </cell>
          <cell r="C20">
            <v>154829.001</v>
          </cell>
          <cell r="D20">
            <v>212256.11</v>
          </cell>
          <cell r="E20">
            <v>10886.342</v>
          </cell>
          <cell r="F20">
            <v>126181.717</v>
          </cell>
          <cell r="G20">
            <v>137068.059</v>
          </cell>
          <cell r="H20">
            <v>5385638.311</v>
          </cell>
          <cell r="I20">
            <v>1701957.437</v>
          </cell>
          <cell r="J20">
            <v>7087595.748</v>
          </cell>
          <cell r="K20">
            <v>508751.964</v>
          </cell>
          <cell r="L20">
            <v>1915049.288</v>
          </cell>
          <cell r="M20">
            <v>2423801.252</v>
          </cell>
          <cell r="N20">
            <v>4.5</v>
          </cell>
          <cell r="O20">
            <v>98.38</v>
          </cell>
          <cell r="P20">
            <v>102.88</v>
          </cell>
          <cell r="Q20">
            <v>5962708.226</v>
          </cell>
          <cell r="R20">
            <v>3898115.823</v>
          </cell>
          <cell r="S20">
            <v>9860824.049</v>
          </cell>
        </row>
        <row r="21">
          <cell r="A21" t="str">
            <v>2025-01</v>
          </cell>
          <cell r="B21">
            <v>59217.889</v>
          </cell>
          <cell r="C21">
            <v>161830.942</v>
          </cell>
          <cell r="D21">
            <v>221048.831</v>
          </cell>
          <cell r="E21">
            <v>10925.43</v>
          </cell>
          <cell r="F21">
            <v>118416.307</v>
          </cell>
          <cell r="G21">
            <v>129341.737</v>
          </cell>
          <cell r="H21">
            <v>5418754.377</v>
          </cell>
          <cell r="I21">
            <v>1682229.388</v>
          </cell>
          <cell r="J21">
            <v>7100983.765</v>
          </cell>
          <cell r="K21">
            <v>521374.687</v>
          </cell>
          <cell r="L21">
            <v>1911503.033</v>
          </cell>
          <cell r="M21">
            <v>2432877.72</v>
          </cell>
          <cell r="N21">
            <v>4.5</v>
          </cell>
          <cell r="O21">
            <v>97.946</v>
          </cell>
          <cell r="P21">
            <v>102.446</v>
          </cell>
          <cell r="Q21">
            <v>6010276.883</v>
          </cell>
          <cell r="R21">
            <v>3874077.616</v>
          </cell>
          <cell r="S21">
            <v>9884354.499</v>
          </cell>
        </row>
        <row r="22">
          <cell r="A22" t="str">
            <v>2024-12</v>
          </cell>
          <cell r="B22">
            <v>60444.762</v>
          </cell>
          <cell r="C22">
            <v>171303.015</v>
          </cell>
          <cell r="D22">
            <v>231747.777</v>
          </cell>
          <cell r="E22">
            <v>10821.36</v>
          </cell>
          <cell r="F22">
            <v>138673.731</v>
          </cell>
          <cell r="G22">
            <v>149495.091</v>
          </cell>
          <cell r="H22">
            <v>5442170.081</v>
          </cell>
          <cell r="I22">
            <v>1666569.257</v>
          </cell>
          <cell r="J22">
            <v>7108739.338</v>
          </cell>
          <cell r="K22">
            <v>532944.804</v>
          </cell>
          <cell r="L22">
            <v>1884775.988</v>
          </cell>
          <cell r="M22">
            <v>2417720.792</v>
          </cell>
          <cell r="N22">
            <v>1.5</v>
          </cell>
          <cell r="O22">
            <v>103.484</v>
          </cell>
          <cell r="P22">
            <v>104.984</v>
          </cell>
          <cell r="Q22">
            <v>6046382.507</v>
          </cell>
          <cell r="R22">
            <v>3861425.475</v>
          </cell>
          <cell r="S22">
            <v>9907807.982</v>
          </cell>
        </row>
        <row r="23">
          <cell r="A23" t="str">
            <v>2024-11</v>
          </cell>
          <cell r="B23">
            <v>58225.174</v>
          </cell>
          <cell r="C23">
            <v>167502.226</v>
          </cell>
          <cell r="D23">
            <v>225727.4</v>
          </cell>
          <cell r="E23">
            <v>10975.627</v>
          </cell>
          <cell r="F23">
            <v>117258.527</v>
          </cell>
          <cell r="G23">
            <v>128234.154</v>
          </cell>
          <cell r="H23">
            <v>5414209.219</v>
          </cell>
          <cell r="I23">
            <v>1662224.558</v>
          </cell>
          <cell r="J23">
            <v>7076433.777</v>
          </cell>
          <cell r="K23">
            <v>577615.895</v>
          </cell>
          <cell r="L23">
            <v>1873317.457</v>
          </cell>
          <cell r="M23">
            <v>2450933.352</v>
          </cell>
          <cell r="N23">
            <v>1.5</v>
          </cell>
          <cell r="O23">
            <v>97.867</v>
          </cell>
          <cell r="P23">
            <v>99.367</v>
          </cell>
          <cell r="Q23">
            <v>6061027.415</v>
          </cell>
          <cell r="R23">
            <v>3820400.635</v>
          </cell>
          <cell r="S23">
            <v>9881428.05</v>
          </cell>
        </row>
        <row r="24">
          <cell r="A24" t="str">
            <v>2024-10</v>
          </cell>
          <cell r="B24">
            <v>53125.466</v>
          </cell>
          <cell r="C24">
            <v>168650.103</v>
          </cell>
          <cell r="D24">
            <v>221775.569</v>
          </cell>
          <cell r="E24">
            <v>11953.223</v>
          </cell>
          <cell r="F24">
            <v>118580.685</v>
          </cell>
          <cell r="G24">
            <v>130533.908</v>
          </cell>
          <cell r="H24">
            <v>5419523.646</v>
          </cell>
          <cell r="I24">
            <v>1649033.007</v>
          </cell>
          <cell r="J24">
            <v>7068556.653</v>
          </cell>
          <cell r="K24">
            <v>588466.55</v>
          </cell>
          <cell r="L24">
            <v>1859775.051</v>
          </cell>
          <cell r="M24">
            <v>2448241.601</v>
          </cell>
          <cell r="N24">
            <v>3.5</v>
          </cell>
          <cell r="O24">
            <v>97.414</v>
          </cell>
          <cell r="P24">
            <v>100.914</v>
          </cell>
          <cell r="Q24">
            <v>6073072.385</v>
          </cell>
          <cell r="R24">
            <v>3796136.26</v>
          </cell>
          <cell r="S24">
            <v>9869208.645</v>
          </cell>
        </row>
        <row r="25">
          <cell r="A25" t="str">
            <v>2024-09</v>
          </cell>
          <cell r="B25">
            <v>54183.494</v>
          </cell>
          <cell r="C25">
            <v>178170.497</v>
          </cell>
          <cell r="D25">
            <v>232353.991</v>
          </cell>
          <cell r="E25">
            <v>11487.851</v>
          </cell>
          <cell r="F25">
            <v>135016.875</v>
          </cell>
          <cell r="G25">
            <v>146504.726</v>
          </cell>
          <cell r="H25">
            <v>5448196.752</v>
          </cell>
          <cell r="I25">
            <v>1673402.815</v>
          </cell>
          <cell r="J25">
            <v>7121599.567</v>
          </cell>
          <cell r="K25">
            <v>606350.242</v>
          </cell>
          <cell r="L25">
            <v>1869128.905</v>
          </cell>
          <cell r="M25">
            <v>2475479.147</v>
          </cell>
          <cell r="N25">
            <v>1.5</v>
          </cell>
          <cell r="O25">
            <v>101.023</v>
          </cell>
          <cell r="P25">
            <v>102.523</v>
          </cell>
          <cell r="Q25">
            <v>6120219.839</v>
          </cell>
          <cell r="R25">
            <v>3855820.115</v>
          </cell>
          <cell r="S25">
            <v>9976039.954</v>
          </cell>
        </row>
        <row r="26">
          <cell r="A26" t="str">
            <v>2024-08</v>
          </cell>
          <cell r="B26">
            <v>54820.921</v>
          </cell>
          <cell r="C26">
            <v>162403.391</v>
          </cell>
          <cell r="D26">
            <v>217224.312</v>
          </cell>
          <cell r="E26">
            <v>10827.844</v>
          </cell>
          <cell r="F26">
            <v>129784.538</v>
          </cell>
          <cell r="G26">
            <v>140612.382</v>
          </cell>
          <cell r="H26">
            <v>5451976.737</v>
          </cell>
          <cell r="I26">
            <v>1655548.19</v>
          </cell>
          <cell r="J26">
            <v>7107524.927</v>
          </cell>
          <cell r="K26">
            <v>620918.515</v>
          </cell>
          <cell r="L26">
            <v>1835334.62</v>
          </cell>
          <cell r="M26">
            <v>2456253.135</v>
          </cell>
          <cell r="N26">
            <v>1.5</v>
          </cell>
          <cell r="O26">
            <v>94.508</v>
          </cell>
          <cell r="P26">
            <v>96.008</v>
          </cell>
          <cell r="Q26">
            <v>6138545.517</v>
          </cell>
          <cell r="R26">
            <v>3783165.247</v>
          </cell>
          <cell r="S26">
            <v>9921710.764</v>
          </cell>
        </row>
        <row r="27">
          <cell r="A27" t="str">
            <v>2024-07</v>
          </cell>
          <cell r="B27">
            <v>55729.204</v>
          </cell>
          <cell r="C27">
            <v>163394.912</v>
          </cell>
          <cell r="D27">
            <v>219124.116</v>
          </cell>
          <cell r="E27">
            <v>10952.601</v>
          </cell>
          <cell r="F27">
            <v>126369.627</v>
          </cell>
          <cell r="G27">
            <v>137322.228</v>
          </cell>
          <cell r="H27">
            <v>5475539.186</v>
          </cell>
          <cell r="I27">
            <v>1621197.327</v>
          </cell>
          <cell r="J27">
            <v>7096736.513</v>
          </cell>
          <cell r="K27">
            <v>640227.928</v>
          </cell>
          <cell r="L27">
            <v>1802166.513</v>
          </cell>
          <cell r="M27">
            <v>2442394.441</v>
          </cell>
          <cell r="N27">
            <v>1.5</v>
          </cell>
          <cell r="O27">
            <v>93.418</v>
          </cell>
          <cell r="P27">
            <v>94.918</v>
          </cell>
          <cell r="Q27">
            <v>6182450.419</v>
          </cell>
          <cell r="R27">
            <v>3713221.797</v>
          </cell>
          <cell r="S27">
            <v>9895672.216</v>
          </cell>
        </row>
        <row r="28">
          <cell r="A28" t="str">
            <v>2024-06</v>
          </cell>
          <cell r="B28">
            <v>58432.998</v>
          </cell>
          <cell r="C28">
            <v>166430.846</v>
          </cell>
          <cell r="D28">
            <v>224863.844</v>
          </cell>
          <cell r="E28">
            <v>10905.167</v>
          </cell>
          <cell r="F28">
            <v>148838.623</v>
          </cell>
          <cell r="G28">
            <v>159743.79</v>
          </cell>
          <cell r="H28">
            <v>5555135.204</v>
          </cell>
          <cell r="I28">
            <v>1621749.562</v>
          </cell>
          <cell r="J28">
            <v>7176884.766</v>
          </cell>
          <cell r="K28">
            <v>641747.747</v>
          </cell>
          <cell r="L28">
            <v>1792824.083</v>
          </cell>
          <cell r="M28">
            <v>2434571.83</v>
          </cell>
          <cell r="N28">
            <v>1.5</v>
          </cell>
          <cell r="O28">
            <v>95.861</v>
          </cell>
          <cell r="P28">
            <v>97.361</v>
          </cell>
          <cell r="Q28">
            <v>6266222.616</v>
          </cell>
          <cell r="R28">
            <v>3729938.975</v>
          </cell>
          <cell r="S28">
            <v>9996161.591</v>
          </cell>
        </row>
        <row r="29">
          <cell r="A29" t="str">
            <v>2024-05</v>
          </cell>
          <cell r="B29">
            <v>53304.318</v>
          </cell>
          <cell r="C29">
            <v>162578.631</v>
          </cell>
          <cell r="D29">
            <v>215882.949</v>
          </cell>
          <cell r="E29">
            <v>10081.311</v>
          </cell>
          <cell r="F29">
            <v>137214.776</v>
          </cell>
          <cell r="G29">
            <v>147296.087</v>
          </cell>
          <cell r="H29">
            <v>5535578.567</v>
          </cell>
          <cell r="I29">
            <v>1570883.689</v>
          </cell>
          <cell r="J29">
            <v>7106462.256</v>
          </cell>
          <cell r="K29">
            <v>661839.038</v>
          </cell>
          <cell r="L29">
            <v>1815819.693</v>
          </cell>
          <cell r="M29">
            <v>2477658.731</v>
          </cell>
          <cell r="N29">
            <v>0.75</v>
          </cell>
          <cell r="O29">
            <v>93.17</v>
          </cell>
          <cell r="P29">
            <v>93.92</v>
          </cell>
          <cell r="Q29">
            <v>6260803.984</v>
          </cell>
          <cell r="R29">
            <v>3686589.959</v>
          </cell>
          <cell r="S29">
            <v>9947393.943</v>
          </cell>
        </row>
        <row r="30">
          <cell r="A30" t="str">
            <v>2024-04</v>
          </cell>
          <cell r="B30">
            <v>50488.022</v>
          </cell>
          <cell r="C30">
            <v>159151.519</v>
          </cell>
          <cell r="D30">
            <v>209639.541</v>
          </cell>
          <cell r="E30">
            <v>10029.671</v>
          </cell>
          <cell r="F30">
            <v>138045.889</v>
          </cell>
          <cell r="G30">
            <v>148075.56</v>
          </cell>
          <cell r="H30">
            <v>5570534.263</v>
          </cell>
          <cell r="I30">
            <v>1562593.271</v>
          </cell>
          <cell r="J30">
            <v>7133127.534</v>
          </cell>
          <cell r="K30">
            <v>671225.147</v>
          </cell>
          <cell r="L30">
            <v>1824081.698</v>
          </cell>
          <cell r="M30">
            <v>2495306.845</v>
          </cell>
          <cell r="N30">
            <v>0.75</v>
          </cell>
          <cell r="O30">
            <v>93.269</v>
          </cell>
          <cell r="P30">
            <v>94.019</v>
          </cell>
          <cell r="Q30">
            <v>6302277.853</v>
          </cell>
          <cell r="R30">
            <v>3683965.646</v>
          </cell>
          <cell r="S30">
            <v>9986243.499</v>
          </cell>
        </row>
        <row r="31">
          <cell r="A31" t="str">
            <v>2024-03</v>
          </cell>
          <cell r="B31">
            <v>50032.608</v>
          </cell>
          <cell r="C31">
            <v>158729.043</v>
          </cell>
          <cell r="D31">
            <v>208761.651</v>
          </cell>
          <cell r="E31">
            <v>9955.31</v>
          </cell>
          <cell r="F31">
            <v>144030.267</v>
          </cell>
          <cell r="G31">
            <v>153985.577</v>
          </cell>
          <cell r="H31">
            <v>5599512.918</v>
          </cell>
          <cell r="I31">
            <v>1573120.417</v>
          </cell>
          <cell r="J31">
            <v>7172633.335</v>
          </cell>
          <cell r="K31">
            <v>691942.459</v>
          </cell>
          <cell r="L31">
            <v>1860238.542</v>
          </cell>
          <cell r="M31">
            <v>2552181.001</v>
          </cell>
          <cell r="N31">
            <v>0.75</v>
          </cell>
          <cell r="O31">
            <v>93.705</v>
          </cell>
          <cell r="P31">
            <v>94.455</v>
          </cell>
          <cell r="Q31">
            <v>6351444.045</v>
          </cell>
          <cell r="R31">
            <v>3736211.974</v>
          </cell>
          <cell r="S31">
            <v>10087656.019</v>
          </cell>
        </row>
        <row r="32">
          <cell r="A32" t="str">
            <v>2024-02</v>
          </cell>
          <cell r="B32">
            <v>49507.756</v>
          </cell>
          <cell r="C32">
            <v>145318.711</v>
          </cell>
          <cell r="D32">
            <v>194826.467</v>
          </cell>
          <cell r="E32">
            <v>10106.391</v>
          </cell>
          <cell r="F32">
            <v>136678.006</v>
          </cell>
          <cell r="G32">
            <v>146784.397</v>
          </cell>
          <cell r="H32">
            <v>5587884.489</v>
          </cell>
          <cell r="I32">
            <v>1543580.438</v>
          </cell>
          <cell r="J32">
            <v>7131464.927</v>
          </cell>
          <cell r="K32">
            <v>700974.474</v>
          </cell>
          <cell r="L32">
            <v>1834964.367</v>
          </cell>
          <cell r="M32">
            <v>2535938.841</v>
          </cell>
          <cell r="N32">
            <v>1.4</v>
          </cell>
          <cell r="O32">
            <v>93.75</v>
          </cell>
          <cell r="P32">
            <v>95.15</v>
          </cell>
          <cell r="Q32">
            <v>6348474.51</v>
          </cell>
          <cell r="R32">
            <v>3660635.272</v>
          </cell>
          <cell r="S32">
            <v>10009109.782</v>
          </cell>
        </row>
        <row r="33">
          <cell r="A33" t="str">
            <v>2024-01</v>
          </cell>
          <cell r="B33">
            <v>52179.225</v>
          </cell>
          <cell r="C33">
            <v>148054.782</v>
          </cell>
          <cell r="D33">
            <v>200234.007</v>
          </cell>
          <cell r="E33">
            <v>10016.579</v>
          </cell>
          <cell r="F33">
            <v>136700.011</v>
          </cell>
          <cell r="G33">
            <v>146716.59</v>
          </cell>
          <cell r="H33">
            <v>5624560.184</v>
          </cell>
          <cell r="I33">
            <v>1573422.915</v>
          </cell>
          <cell r="J33">
            <v>7197983.099</v>
          </cell>
          <cell r="K33">
            <v>713311.226</v>
          </cell>
          <cell r="L33">
            <v>1853143.113</v>
          </cell>
          <cell r="M33">
            <v>2566454.339</v>
          </cell>
          <cell r="N33">
            <v>1.4</v>
          </cell>
          <cell r="O33">
            <v>93.876</v>
          </cell>
          <cell r="P33">
            <v>95.276</v>
          </cell>
          <cell r="Q33">
            <v>6400068.614</v>
          </cell>
          <cell r="R33">
            <v>3711414.697</v>
          </cell>
          <cell r="S33">
            <v>10111483.311</v>
          </cell>
        </row>
        <row r="34">
          <cell r="A34" t="str">
            <v>2023-12</v>
          </cell>
          <cell r="B34">
            <v>55411.698</v>
          </cell>
          <cell r="C34">
            <v>149701.379</v>
          </cell>
          <cell r="D34">
            <v>205113.077</v>
          </cell>
          <cell r="E34">
            <v>10577.562</v>
          </cell>
          <cell r="F34">
            <v>148935.23</v>
          </cell>
          <cell r="G34">
            <v>159512.792</v>
          </cell>
          <cell r="H34">
            <v>5636493.202</v>
          </cell>
          <cell r="I34">
            <v>1626831.815</v>
          </cell>
          <cell r="J34">
            <v>7263325.017</v>
          </cell>
          <cell r="K34">
            <v>718313.295</v>
          </cell>
          <cell r="L34">
            <v>1844955.529</v>
          </cell>
          <cell r="M34">
            <v>2563268.824</v>
          </cell>
          <cell r="N34">
            <v>1.4</v>
          </cell>
          <cell r="O34">
            <v>94.331</v>
          </cell>
          <cell r="P34">
            <v>95.731</v>
          </cell>
          <cell r="Q34">
            <v>6420797.157</v>
          </cell>
          <cell r="R34">
            <v>3770518.284</v>
          </cell>
          <cell r="S34">
            <v>10191315.441</v>
          </cell>
        </row>
        <row r="35">
          <cell r="A35" t="str">
            <v>2023-11</v>
          </cell>
          <cell r="B35">
            <v>55308.959</v>
          </cell>
          <cell r="C35">
            <v>154583.687</v>
          </cell>
          <cell r="D35">
            <v>209892.646</v>
          </cell>
          <cell r="E35">
            <v>10718.634</v>
          </cell>
          <cell r="F35">
            <v>135149.251</v>
          </cell>
          <cell r="G35">
            <v>145867.885</v>
          </cell>
          <cell r="H35">
            <v>5665291.331</v>
          </cell>
          <cell r="I35">
            <v>1586497.402</v>
          </cell>
          <cell r="J35">
            <v>7251788.733</v>
          </cell>
          <cell r="K35">
            <v>757954.725</v>
          </cell>
          <cell r="L35">
            <v>1828163.372</v>
          </cell>
          <cell r="M35">
            <v>2586118.097</v>
          </cell>
          <cell r="N35">
            <v>1</v>
          </cell>
          <cell r="O35">
            <v>93.788</v>
          </cell>
          <cell r="P35">
            <v>94.788</v>
          </cell>
          <cell r="Q35">
            <v>6489274.649</v>
          </cell>
          <cell r="R35">
            <v>3704487.5</v>
          </cell>
          <cell r="S35">
            <v>10193762.149</v>
          </cell>
        </row>
        <row r="36">
          <cell r="A36" t="str">
            <v>2023-10</v>
          </cell>
          <cell r="B36">
            <v>53861.015</v>
          </cell>
          <cell r="C36">
            <v>164674.777</v>
          </cell>
          <cell r="D36">
            <v>218535.792</v>
          </cell>
          <cell r="E36">
            <v>10955.049</v>
          </cell>
          <cell r="F36">
            <v>155934.093</v>
          </cell>
          <cell r="G36">
            <v>166889.142</v>
          </cell>
          <cell r="H36">
            <v>5664395.162</v>
          </cell>
          <cell r="I36">
            <v>1566775.886</v>
          </cell>
          <cell r="J36">
            <v>7231171.048</v>
          </cell>
          <cell r="K36">
            <v>781858.313</v>
          </cell>
          <cell r="L36">
            <v>1842558.522</v>
          </cell>
          <cell r="M36">
            <v>2624416.835</v>
          </cell>
          <cell r="N36">
            <v>1.5</v>
          </cell>
          <cell r="O36">
            <v>93.766</v>
          </cell>
          <cell r="P36">
            <v>95.266</v>
          </cell>
          <cell r="Q36">
            <v>6511071.039</v>
          </cell>
          <cell r="R36">
            <v>3730037.044</v>
          </cell>
          <cell r="S36">
            <v>10241108.083</v>
          </cell>
        </row>
        <row r="37">
          <cell r="A37" t="str">
            <v>2023-09</v>
          </cell>
          <cell r="B37">
            <v>54532.973</v>
          </cell>
          <cell r="C37">
            <v>162500.037</v>
          </cell>
          <cell r="D37">
            <v>217033.01</v>
          </cell>
          <cell r="E37">
            <v>11158.058</v>
          </cell>
          <cell r="F37">
            <v>165818.557</v>
          </cell>
          <cell r="G37">
            <v>176976.615</v>
          </cell>
          <cell r="H37">
            <v>5681446.689</v>
          </cell>
          <cell r="I37">
            <v>1560970.86</v>
          </cell>
          <cell r="J37">
            <v>7242417.549</v>
          </cell>
          <cell r="K37">
            <v>798959.373</v>
          </cell>
          <cell r="L37">
            <v>1856658.46</v>
          </cell>
          <cell r="M37">
            <v>2655617.833</v>
          </cell>
          <cell r="N37">
            <v>4.5</v>
          </cell>
          <cell r="O37">
            <v>94.221</v>
          </cell>
          <cell r="P37">
            <v>98.721</v>
          </cell>
          <cell r="Q37">
            <v>6546101.593</v>
          </cell>
          <cell r="R37">
            <v>3746042.135</v>
          </cell>
          <cell r="S37">
            <v>10292143.728</v>
          </cell>
        </row>
        <row r="38">
          <cell r="A38" t="str">
            <v>2023-08</v>
          </cell>
          <cell r="B38">
            <v>57791.827</v>
          </cell>
          <cell r="C38">
            <v>156577.057</v>
          </cell>
          <cell r="D38">
            <v>214368.884</v>
          </cell>
          <cell r="E38">
            <v>12033.163</v>
          </cell>
          <cell r="F38">
            <v>152544.742</v>
          </cell>
          <cell r="G38">
            <v>164577.905</v>
          </cell>
          <cell r="H38">
            <v>5725090.364</v>
          </cell>
          <cell r="I38">
            <v>1578783.348</v>
          </cell>
          <cell r="J38">
            <v>7303873.712</v>
          </cell>
          <cell r="K38">
            <v>829720.628</v>
          </cell>
          <cell r="L38">
            <v>1874440.16</v>
          </cell>
          <cell r="M38">
            <v>2704160.788</v>
          </cell>
          <cell r="N38">
            <v>8.5</v>
          </cell>
          <cell r="O38">
            <v>94.724</v>
          </cell>
          <cell r="P38">
            <v>103.224</v>
          </cell>
          <cell r="Q38">
            <v>6624644.482</v>
          </cell>
          <cell r="R38">
            <v>3762440.031</v>
          </cell>
          <cell r="S38">
            <v>10387084.513</v>
          </cell>
        </row>
        <row r="39">
          <cell r="A39" t="str">
            <v>2023-07</v>
          </cell>
          <cell r="B39">
            <v>61172.964</v>
          </cell>
          <cell r="C39">
            <v>155542.653</v>
          </cell>
          <cell r="D39">
            <v>216715.617</v>
          </cell>
          <cell r="E39">
            <v>12635.743</v>
          </cell>
          <cell r="F39">
            <v>165856.704</v>
          </cell>
          <cell r="G39">
            <v>178492.447</v>
          </cell>
          <cell r="H39">
            <v>5735100.524</v>
          </cell>
          <cell r="I39">
            <v>1568722.583</v>
          </cell>
          <cell r="J39">
            <v>7303823.107</v>
          </cell>
          <cell r="K39">
            <v>840744.408</v>
          </cell>
          <cell r="L39">
            <v>1876719.698</v>
          </cell>
          <cell r="M39">
            <v>2717464.106</v>
          </cell>
          <cell r="N39">
            <v>8.5</v>
          </cell>
          <cell r="O39">
            <v>94.617</v>
          </cell>
          <cell r="P39">
            <v>103.117</v>
          </cell>
          <cell r="Q39">
            <v>6649662.139</v>
          </cell>
          <cell r="R39">
            <v>3766936.255</v>
          </cell>
          <cell r="S39">
            <v>10416598.394</v>
          </cell>
        </row>
        <row r="40">
          <cell r="A40" t="str">
            <v>2023-06</v>
          </cell>
          <cell r="B40">
            <v>64502.142</v>
          </cell>
          <cell r="C40">
            <v>157052.047</v>
          </cell>
          <cell r="D40">
            <v>221554.189</v>
          </cell>
          <cell r="E40">
            <v>12758.153</v>
          </cell>
          <cell r="F40">
            <v>171539.913</v>
          </cell>
          <cell r="G40">
            <v>184298.066</v>
          </cell>
          <cell r="H40">
            <v>5802730.557</v>
          </cell>
          <cell r="I40">
            <v>1578865.062</v>
          </cell>
          <cell r="J40">
            <v>7381595.619</v>
          </cell>
          <cell r="K40">
            <v>859945.171</v>
          </cell>
          <cell r="L40">
            <v>1873060.227</v>
          </cell>
          <cell r="M40">
            <v>2733005.398</v>
          </cell>
          <cell r="N40">
            <v>10</v>
          </cell>
          <cell r="O40">
            <v>94.332</v>
          </cell>
          <cell r="P40">
            <v>104.332</v>
          </cell>
          <cell r="Q40">
            <v>6739946.023</v>
          </cell>
          <cell r="R40">
            <v>3780611.581</v>
          </cell>
          <cell r="S40">
            <v>10520557.604</v>
          </cell>
        </row>
        <row r="41">
          <cell r="A41" t="str">
            <v>2023-05</v>
          </cell>
          <cell r="B41">
            <v>60430.93</v>
          </cell>
          <cell r="C41">
            <v>154573.248</v>
          </cell>
          <cell r="D41">
            <v>215004.178</v>
          </cell>
          <cell r="E41">
            <v>13529.318</v>
          </cell>
          <cell r="F41">
            <v>167447.877</v>
          </cell>
          <cell r="G41">
            <v>180977.195</v>
          </cell>
          <cell r="H41">
            <v>5783898.702</v>
          </cell>
          <cell r="I41">
            <v>1555139.326</v>
          </cell>
          <cell r="J41">
            <v>7339038.028</v>
          </cell>
          <cell r="K41">
            <v>897161.074</v>
          </cell>
          <cell r="L41">
            <v>1891212.553</v>
          </cell>
          <cell r="M41">
            <v>2788373.627</v>
          </cell>
          <cell r="N41">
            <v>10</v>
          </cell>
          <cell r="O41">
            <v>97.152</v>
          </cell>
          <cell r="P41">
            <v>107.152</v>
          </cell>
          <cell r="Q41">
            <v>6755030.024</v>
          </cell>
          <cell r="R41">
            <v>3768470.156</v>
          </cell>
          <cell r="S41">
            <v>10523500.18</v>
          </cell>
        </row>
        <row r="42">
          <cell r="A42" t="str">
            <v>2023-04</v>
          </cell>
          <cell r="B42">
            <v>58587.772</v>
          </cell>
          <cell r="C42">
            <v>155383.886</v>
          </cell>
          <cell r="D42">
            <v>213971.658</v>
          </cell>
          <cell r="E42">
            <v>16933.223</v>
          </cell>
          <cell r="F42">
            <v>160603.675</v>
          </cell>
          <cell r="G42">
            <v>177536.898</v>
          </cell>
          <cell r="H42">
            <v>5789732.397</v>
          </cell>
          <cell r="I42">
            <v>1569290.645</v>
          </cell>
          <cell r="J42">
            <v>7359023.042</v>
          </cell>
          <cell r="K42">
            <v>898375.711</v>
          </cell>
          <cell r="L42">
            <v>1941615.971</v>
          </cell>
          <cell r="M42">
            <v>2839991.682</v>
          </cell>
          <cell r="N42">
            <v>10</v>
          </cell>
          <cell r="O42">
            <v>99.438</v>
          </cell>
          <cell r="P42">
            <v>109.438</v>
          </cell>
          <cell r="Q42">
            <v>6763639.103</v>
          </cell>
          <cell r="R42">
            <v>3826993.615</v>
          </cell>
          <cell r="S42">
            <v>10590632.718</v>
          </cell>
        </row>
        <row r="43">
          <cell r="A43" t="str">
            <v>2023-03</v>
          </cell>
          <cell r="B43">
            <v>56122.065</v>
          </cell>
          <cell r="C43">
            <v>159230.393</v>
          </cell>
          <cell r="D43">
            <v>215352.458</v>
          </cell>
          <cell r="E43">
            <v>14349.711</v>
          </cell>
          <cell r="F43">
            <v>186117.654</v>
          </cell>
          <cell r="G43">
            <v>200467.365</v>
          </cell>
          <cell r="H43">
            <v>5801424.614</v>
          </cell>
          <cell r="I43">
            <v>1597605.264</v>
          </cell>
          <cell r="J43">
            <v>7399029.878</v>
          </cell>
          <cell r="K43">
            <v>887161.812</v>
          </cell>
          <cell r="L43">
            <v>1961720.923</v>
          </cell>
          <cell r="M43">
            <v>2848882.735</v>
          </cell>
          <cell r="N43">
            <v>11.5</v>
          </cell>
          <cell r="O43">
            <v>99.48</v>
          </cell>
          <cell r="P43">
            <v>110.98</v>
          </cell>
          <cell r="Q43">
            <v>6759069.702</v>
          </cell>
          <cell r="R43">
            <v>3904773.714</v>
          </cell>
          <cell r="S43">
            <v>10663843.416</v>
          </cell>
        </row>
        <row r="44">
          <cell r="A44" t="str">
            <v>2023-02</v>
          </cell>
          <cell r="B44">
            <v>54649.651</v>
          </cell>
          <cell r="C44">
            <v>158334.971</v>
          </cell>
          <cell r="D44">
            <v>212984.622</v>
          </cell>
          <cell r="E44">
            <v>13818.923</v>
          </cell>
          <cell r="F44">
            <v>178535.273</v>
          </cell>
          <cell r="G44">
            <v>192354.196</v>
          </cell>
          <cell r="H44">
            <v>5739031.137</v>
          </cell>
          <cell r="I44">
            <v>1628145.774</v>
          </cell>
          <cell r="J44">
            <v>7367176.911</v>
          </cell>
          <cell r="K44">
            <v>882473.948</v>
          </cell>
          <cell r="L44">
            <v>1984320.469</v>
          </cell>
          <cell r="M44">
            <v>2866794.417</v>
          </cell>
          <cell r="N44">
            <v>11.5</v>
          </cell>
          <cell r="O44">
            <v>104.347</v>
          </cell>
          <cell r="P44">
            <v>115.847</v>
          </cell>
          <cell r="Q44">
            <v>6689985.159</v>
          </cell>
          <cell r="R44">
            <v>3949440.834</v>
          </cell>
          <cell r="S44">
            <v>10639425.993</v>
          </cell>
        </row>
        <row r="45">
          <cell r="A45" t="str">
            <v>2023-01</v>
          </cell>
          <cell r="B45">
            <v>55047.143</v>
          </cell>
          <cell r="C45">
            <v>180452.367</v>
          </cell>
          <cell r="D45">
            <v>235499.51</v>
          </cell>
          <cell r="E45">
            <v>12366.937</v>
          </cell>
          <cell r="F45">
            <v>175895.584</v>
          </cell>
          <cell r="G45">
            <v>188262.521</v>
          </cell>
          <cell r="H45">
            <v>5701183.851</v>
          </cell>
          <cell r="I45">
            <v>1686606.002</v>
          </cell>
          <cell r="J45">
            <v>7387789.853</v>
          </cell>
          <cell r="K45">
            <v>875577.33</v>
          </cell>
          <cell r="L45">
            <v>2016561.347</v>
          </cell>
          <cell r="M45">
            <v>2892138.677</v>
          </cell>
          <cell r="N45">
            <v>31.5</v>
          </cell>
          <cell r="O45">
            <v>341.738</v>
          </cell>
          <cell r="P45">
            <v>373.238</v>
          </cell>
          <cell r="Q45">
            <v>6644206.761</v>
          </cell>
          <cell r="R45">
            <v>4059857.038</v>
          </cell>
          <cell r="S45">
            <v>10704063.799</v>
          </cell>
        </row>
        <row r="46">
          <cell r="A46" t="str">
            <v>2022-12</v>
          </cell>
          <cell r="B46">
            <v>58068.637</v>
          </cell>
          <cell r="C46">
            <v>189414.864</v>
          </cell>
          <cell r="D46">
            <v>247483.501</v>
          </cell>
          <cell r="E46">
            <v>12622.642</v>
          </cell>
          <cell r="F46">
            <v>159585.632</v>
          </cell>
          <cell r="G46">
            <v>172208.274</v>
          </cell>
          <cell r="H46">
            <v>5648487.72</v>
          </cell>
          <cell r="I46">
            <v>1642161.107</v>
          </cell>
          <cell r="J46">
            <v>7290648.827</v>
          </cell>
          <cell r="K46">
            <v>883783.402</v>
          </cell>
          <cell r="L46">
            <v>1976831.037</v>
          </cell>
          <cell r="M46">
            <v>2860614.439</v>
          </cell>
          <cell r="N46">
            <v>1.5</v>
          </cell>
          <cell r="O46">
            <v>341.204</v>
          </cell>
          <cell r="P46">
            <v>342.704</v>
          </cell>
          <cell r="Q46">
            <v>6602963.901</v>
          </cell>
          <cell r="R46">
            <v>3968333.844</v>
          </cell>
          <cell r="S46">
            <v>10571297.745</v>
          </cell>
        </row>
        <row r="47">
          <cell r="A47" t="str">
            <v>2022-11</v>
          </cell>
          <cell r="B47">
            <v>60707.421</v>
          </cell>
          <cell r="C47">
            <v>200749.556</v>
          </cell>
          <cell r="D47">
            <v>261456.977</v>
          </cell>
          <cell r="E47">
            <v>13780.466</v>
          </cell>
          <cell r="F47">
            <v>161477.438</v>
          </cell>
          <cell r="G47">
            <v>175257.904</v>
          </cell>
          <cell r="H47">
            <v>5625685.399</v>
          </cell>
          <cell r="I47">
            <v>1675411.032</v>
          </cell>
          <cell r="J47">
            <v>7301096.431</v>
          </cell>
          <cell r="K47">
            <v>911273.313</v>
          </cell>
          <cell r="L47">
            <v>2002720.262</v>
          </cell>
          <cell r="M47">
            <v>2913993.575</v>
          </cell>
          <cell r="N47">
            <v>10</v>
          </cell>
          <cell r="O47">
            <v>337.955</v>
          </cell>
          <cell r="P47">
            <v>347.955</v>
          </cell>
          <cell r="Q47">
            <v>6611456.599</v>
          </cell>
          <cell r="R47">
            <v>4040696.243</v>
          </cell>
          <cell r="S47">
            <v>10652152.842</v>
          </cell>
        </row>
        <row r="48">
          <cell r="A48" t="str">
            <v>2022-10</v>
          </cell>
          <cell r="B48">
            <v>59465.878</v>
          </cell>
          <cell r="C48">
            <v>211244.915</v>
          </cell>
          <cell r="D48">
            <v>270710.793</v>
          </cell>
          <cell r="E48">
            <v>14077.672</v>
          </cell>
          <cell r="F48">
            <v>163598.448</v>
          </cell>
          <cell r="G48">
            <v>177676.12</v>
          </cell>
          <cell r="H48">
            <v>5600548.583</v>
          </cell>
          <cell r="I48">
            <v>1681218.649</v>
          </cell>
          <cell r="J48">
            <v>7281767.232</v>
          </cell>
          <cell r="K48">
            <v>930741.03</v>
          </cell>
          <cell r="L48">
            <v>2028249.563</v>
          </cell>
          <cell r="M48">
            <v>2958990.593</v>
          </cell>
          <cell r="N48">
            <v>17</v>
          </cell>
          <cell r="O48">
            <v>347.73</v>
          </cell>
          <cell r="P48">
            <v>364.73</v>
          </cell>
          <cell r="Q48">
            <v>6604850.163</v>
          </cell>
          <cell r="R48">
            <v>4084659.305</v>
          </cell>
          <cell r="S48">
            <v>10689509.468</v>
          </cell>
        </row>
        <row r="49">
          <cell r="A49" t="str">
            <v>2022-09</v>
          </cell>
          <cell r="B49">
            <v>61525.478</v>
          </cell>
          <cell r="C49">
            <v>221899.967</v>
          </cell>
          <cell r="D49">
            <v>283425.445</v>
          </cell>
          <cell r="E49">
            <v>14787.581</v>
          </cell>
          <cell r="F49">
            <v>189545.385</v>
          </cell>
          <cell r="G49">
            <v>204332.966</v>
          </cell>
          <cell r="H49">
            <v>5620733.004</v>
          </cell>
          <cell r="I49">
            <v>1700076.94</v>
          </cell>
          <cell r="J49">
            <v>7320809.944</v>
          </cell>
          <cell r="K49">
            <v>946907.617</v>
          </cell>
          <cell r="L49">
            <v>2065186.791</v>
          </cell>
          <cell r="M49">
            <v>3012094.408</v>
          </cell>
          <cell r="N49">
            <v>22</v>
          </cell>
          <cell r="O49">
            <v>349.018</v>
          </cell>
          <cell r="P49">
            <v>371.018</v>
          </cell>
          <cell r="Q49">
            <v>6643975.68</v>
          </cell>
          <cell r="R49">
            <v>4177058.101</v>
          </cell>
          <cell r="S49">
            <v>10821033.781</v>
          </cell>
        </row>
        <row r="50">
          <cell r="A50" t="str">
            <v>2022-08</v>
          </cell>
          <cell r="B50">
            <v>62941.856</v>
          </cell>
          <cell r="C50">
            <v>228711.831</v>
          </cell>
          <cell r="D50">
            <v>291653.687</v>
          </cell>
          <cell r="E50">
            <v>14017.195</v>
          </cell>
          <cell r="F50">
            <v>192199.288</v>
          </cell>
          <cell r="G50">
            <v>206216.483</v>
          </cell>
          <cell r="H50">
            <v>5598982.775</v>
          </cell>
          <cell r="I50">
            <v>1718132.772</v>
          </cell>
          <cell r="J50">
            <v>7317115.547</v>
          </cell>
          <cell r="K50">
            <v>939834.686</v>
          </cell>
          <cell r="L50">
            <v>2117065.553</v>
          </cell>
          <cell r="M50">
            <v>3056900.239</v>
          </cell>
          <cell r="N50">
            <v>26.7</v>
          </cell>
          <cell r="O50">
            <v>349.169</v>
          </cell>
          <cell r="P50">
            <v>375.869</v>
          </cell>
          <cell r="Q50">
            <v>6615803.212</v>
          </cell>
          <cell r="R50">
            <v>4256458.613</v>
          </cell>
          <cell r="S50">
            <v>10872261.825</v>
          </cell>
        </row>
        <row r="51">
          <cell r="A51" t="str">
            <v>2022-07</v>
          </cell>
          <cell r="B51">
            <v>62875.79</v>
          </cell>
          <cell r="C51">
            <v>228461.736</v>
          </cell>
          <cell r="D51">
            <v>291337.526</v>
          </cell>
          <cell r="E51">
            <v>12397.564</v>
          </cell>
          <cell r="F51">
            <v>199716.729</v>
          </cell>
          <cell r="G51">
            <v>212114.293</v>
          </cell>
          <cell r="H51">
            <v>5580738.125</v>
          </cell>
          <cell r="I51">
            <v>1744809.918</v>
          </cell>
          <cell r="J51">
            <v>7325548.043</v>
          </cell>
          <cell r="K51">
            <v>937296.76</v>
          </cell>
          <cell r="L51">
            <v>2167491.551</v>
          </cell>
          <cell r="M51">
            <v>3104788.311</v>
          </cell>
          <cell r="N51">
            <v>44.7</v>
          </cell>
          <cell r="O51">
            <v>350.66</v>
          </cell>
          <cell r="P51">
            <v>395.36</v>
          </cell>
          <cell r="Q51">
            <v>6593352.939</v>
          </cell>
          <cell r="R51">
            <v>4340830.594</v>
          </cell>
          <cell r="S51">
            <v>10934183.533</v>
          </cell>
        </row>
        <row r="52">
          <cell r="A52" t="str">
            <v>2022-06</v>
          </cell>
          <cell r="B52">
            <v>62952.61</v>
          </cell>
          <cell r="C52">
            <v>231663.694</v>
          </cell>
          <cell r="D52">
            <v>294616.304</v>
          </cell>
          <cell r="E52">
            <v>11549.728</v>
          </cell>
          <cell r="F52">
            <v>218172.434</v>
          </cell>
          <cell r="G52">
            <v>229722.162</v>
          </cell>
          <cell r="H52">
            <v>5584726.886</v>
          </cell>
          <cell r="I52">
            <v>1765833.053</v>
          </cell>
          <cell r="J52">
            <v>7350559.939</v>
          </cell>
          <cell r="K52">
            <v>921655.903</v>
          </cell>
          <cell r="L52">
            <v>2184103.88</v>
          </cell>
          <cell r="M52">
            <v>3105759.783</v>
          </cell>
          <cell r="N52">
            <v>44.7</v>
          </cell>
          <cell r="O52">
            <v>351.799</v>
          </cell>
          <cell r="P52">
            <v>396.499</v>
          </cell>
          <cell r="Q52">
            <v>6580929.827</v>
          </cell>
          <cell r="R52">
            <v>4400124.86</v>
          </cell>
          <cell r="S52">
            <v>10981054.687</v>
          </cell>
        </row>
        <row r="53">
          <cell r="A53" t="str">
            <v>2022-05</v>
          </cell>
          <cell r="B53">
            <v>52457.301</v>
          </cell>
          <cell r="C53">
            <v>244666.252</v>
          </cell>
          <cell r="D53">
            <v>297123.553</v>
          </cell>
          <cell r="E53">
            <v>10467.148</v>
          </cell>
          <cell r="F53">
            <v>215948.357</v>
          </cell>
          <cell r="G53">
            <v>226415.505</v>
          </cell>
          <cell r="H53">
            <v>5521085.916</v>
          </cell>
          <cell r="I53">
            <v>1821691.404</v>
          </cell>
          <cell r="J53">
            <v>7342777.32</v>
          </cell>
          <cell r="K53">
            <v>893310.558</v>
          </cell>
          <cell r="L53">
            <v>2239416.558</v>
          </cell>
          <cell r="M53">
            <v>3132727.116</v>
          </cell>
          <cell r="N53">
            <v>45.2</v>
          </cell>
          <cell r="O53">
            <v>351.745</v>
          </cell>
          <cell r="P53">
            <v>396.945</v>
          </cell>
          <cell r="Q53">
            <v>6477366.123</v>
          </cell>
          <cell r="R53">
            <v>4522074.316</v>
          </cell>
          <cell r="S53">
            <v>10999440.439</v>
          </cell>
        </row>
        <row r="54">
          <cell r="A54" t="str">
            <v>2022-04</v>
          </cell>
          <cell r="B54">
            <v>51009.942</v>
          </cell>
          <cell r="C54">
            <v>237669.546</v>
          </cell>
          <cell r="D54">
            <v>288679.488</v>
          </cell>
          <cell r="E54">
            <v>10844.44</v>
          </cell>
          <cell r="F54">
            <v>218803.026</v>
          </cell>
          <cell r="G54">
            <v>229647.466</v>
          </cell>
          <cell r="H54">
            <v>5491917.826</v>
          </cell>
          <cell r="I54">
            <v>1809924.626</v>
          </cell>
          <cell r="J54">
            <v>7301842.452</v>
          </cell>
          <cell r="K54">
            <v>894112.578</v>
          </cell>
          <cell r="L54">
            <v>2234514.622</v>
          </cell>
          <cell r="M54">
            <v>3128627.2</v>
          </cell>
          <cell r="N54">
            <v>45.2</v>
          </cell>
          <cell r="O54">
            <v>355.912</v>
          </cell>
          <cell r="P54">
            <v>401.112</v>
          </cell>
          <cell r="Q54">
            <v>6447929.986</v>
          </cell>
          <cell r="R54">
            <v>4501267.732</v>
          </cell>
          <cell r="S54">
            <v>10949197.718</v>
          </cell>
        </row>
        <row r="55">
          <cell r="A55" t="str">
            <v>2022-03</v>
          </cell>
          <cell r="B55">
            <v>50857.197</v>
          </cell>
          <cell r="C55">
            <v>249568.753</v>
          </cell>
          <cell r="D55">
            <v>300425.95</v>
          </cell>
          <cell r="E55">
            <v>10651.246</v>
          </cell>
          <cell r="F55">
            <v>220407.651</v>
          </cell>
          <cell r="G55">
            <v>231058.897</v>
          </cell>
          <cell r="H55">
            <v>5499975.353</v>
          </cell>
          <cell r="I55">
            <v>1836256.892</v>
          </cell>
          <cell r="J55">
            <v>7336232.245</v>
          </cell>
          <cell r="K55">
            <v>893036.314</v>
          </cell>
          <cell r="L55">
            <v>2265670.771</v>
          </cell>
          <cell r="M55">
            <v>3158707.085</v>
          </cell>
          <cell r="N55">
            <v>42.6</v>
          </cell>
          <cell r="O55">
            <v>354.996</v>
          </cell>
          <cell r="P55">
            <v>397.596</v>
          </cell>
          <cell r="Q55">
            <v>6454562.71</v>
          </cell>
          <cell r="R55">
            <v>4572259.063</v>
          </cell>
          <cell r="S55">
            <v>11026821.773</v>
          </cell>
        </row>
        <row r="56">
          <cell r="A56" t="str">
            <v>2022-02</v>
          </cell>
          <cell r="B56">
            <v>53271.381</v>
          </cell>
          <cell r="C56">
            <v>244641.237</v>
          </cell>
          <cell r="D56">
            <v>297912.618</v>
          </cell>
          <cell r="E56">
            <v>11537.969</v>
          </cell>
          <cell r="F56">
            <v>203702.145</v>
          </cell>
          <cell r="G56">
            <v>215240.114</v>
          </cell>
          <cell r="H56">
            <v>5473488.95</v>
          </cell>
          <cell r="I56">
            <v>1798520.371</v>
          </cell>
          <cell r="J56">
            <v>7272009.321</v>
          </cell>
          <cell r="K56">
            <v>893996.794</v>
          </cell>
          <cell r="L56">
            <v>2316079.273</v>
          </cell>
          <cell r="M56">
            <v>3210076.067</v>
          </cell>
          <cell r="N56">
            <v>48.6</v>
          </cell>
          <cell r="O56">
            <v>404.935</v>
          </cell>
          <cell r="P56">
            <v>453.535</v>
          </cell>
          <cell r="Q56">
            <v>6432343.694</v>
          </cell>
          <cell r="R56">
            <v>4563347.961</v>
          </cell>
          <cell r="S56">
            <v>10995691.655</v>
          </cell>
        </row>
        <row r="57">
          <cell r="A57" t="str">
            <v>2022-01</v>
          </cell>
          <cell r="B57">
            <v>54485.945</v>
          </cell>
          <cell r="C57">
            <v>240976.375</v>
          </cell>
          <cell r="D57">
            <v>295462.32</v>
          </cell>
          <cell r="E57">
            <v>12529.213</v>
          </cell>
          <cell r="F57">
            <v>187093.95</v>
          </cell>
          <cell r="G57">
            <v>199623.163</v>
          </cell>
          <cell r="H57">
            <v>5470564.461</v>
          </cell>
          <cell r="I57">
            <v>1791363.244</v>
          </cell>
          <cell r="J57">
            <v>7261927.705</v>
          </cell>
          <cell r="K57">
            <v>896884.972</v>
          </cell>
          <cell r="L57">
            <v>2326862.549</v>
          </cell>
          <cell r="M57">
            <v>3223747.521</v>
          </cell>
          <cell r="N57">
            <v>48.6</v>
          </cell>
          <cell r="O57">
            <v>404.144</v>
          </cell>
          <cell r="P57">
            <v>452.744</v>
          </cell>
          <cell r="Q57">
            <v>6434513.191</v>
          </cell>
          <cell r="R57">
            <v>4546700.262</v>
          </cell>
          <cell r="S57">
            <v>10981213.453</v>
          </cell>
        </row>
        <row r="58">
          <cell r="A58" t="str">
            <v>2021-12</v>
          </cell>
          <cell r="B58">
            <v>55055.337</v>
          </cell>
          <cell r="C58">
            <v>236330.956</v>
          </cell>
          <cell r="D58">
            <v>291386.293</v>
          </cell>
          <cell r="E58">
            <v>13888.557</v>
          </cell>
          <cell r="F58">
            <v>179755.395</v>
          </cell>
          <cell r="G58">
            <v>193643.952</v>
          </cell>
          <cell r="H58">
            <v>5468186.189</v>
          </cell>
          <cell r="I58">
            <v>1759079.069</v>
          </cell>
          <cell r="J58">
            <v>7227265.258</v>
          </cell>
          <cell r="K58">
            <v>888678.052</v>
          </cell>
          <cell r="L58">
            <v>2291728.488</v>
          </cell>
          <cell r="M58">
            <v>3180406.54</v>
          </cell>
          <cell r="N58">
            <v>48.6</v>
          </cell>
          <cell r="O58">
            <v>396.627</v>
          </cell>
          <cell r="P58">
            <v>445.227</v>
          </cell>
          <cell r="Q58">
            <v>6425856.735</v>
          </cell>
          <cell r="R58">
            <v>4467290.535</v>
          </cell>
          <cell r="S58">
            <v>10893147.27</v>
          </cell>
        </row>
        <row r="59">
          <cell r="A59" t="str">
            <v>2021-11</v>
          </cell>
          <cell r="B59">
            <v>55433.771</v>
          </cell>
          <cell r="C59">
            <v>255359.805</v>
          </cell>
          <cell r="D59">
            <v>310793.576</v>
          </cell>
          <cell r="E59">
            <v>14063.287</v>
          </cell>
          <cell r="F59">
            <v>197948.6</v>
          </cell>
          <cell r="G59">
            <v>212011.887</v>
          </cell>
          <cell r="H59">
            <v>5433017.425</v>
          </cell>
          <cell r="I59">
            <v>1809266.09</v>
          </cell>
          <cell r="J59">
            <v>7242283.515</v>
          </cell>
          <cell r="K59">
            <v>903452.045</v>
          </cell>
          <cell r="L59">
            <v>2320228.909</v>
          </cell>
          <cell r="M59">
            <v>3223680.954</v>
          </cell>
          <cell r="N59">
            <v>43.6</v>
          </cell>
          <cell r="O59">
            <v>400.888</v>
          </cell>
          <cell r="P59">
            <v>444.488</v>
          </cell>
          <cell r="Q59">
            <v>6406010.128</v>
          </cell>
          <cell r="R59">
            <v>4583204.292</v>
          </cell>
          <cell r="S59">
            <v>10989214.42</v>
          </cell>
        </row>
        <row r="60">
          <cell r="A60" t="str">
            <v>2021-10</v>
          </cell>
          <cell r="B60">
            <v>55316.24</v>
          </cell>
          <cell r="C60">
            <v>258907.466</v>
          </cell>
          <cell r="D60">
            <v>314223.706</v>
          </cell>
          <cell r="E60">
            <v>14173.728</v>
          </cell>
          <cell r="F60">
            <v>216884.622</v>
          </cell>
          <cell r="G60">
            <v>231058.35</v>
          </cell>
          <cell r="H60">
            <v>5388950.322</v>
          </cell>
          <cell r="I60">
            <v>1827083.045</v>
          </cell>
          <cell r="J60">
            <v>7216033.367</v>
          </cell>
          <cell r="K60">
            <v>889234.54</v>
          </cell>
          <cell r="L60">
            <v>2340694.834</v>
          </cell>
          <cell r="M60">
            <v>3229929.374</v>
          </cell>
          <cell r="N60">
            <v>43.6</v>
          </cell>
          <cell r="O60">
            <v>391.282</v>
          </cell>
          <cell r="P60">
            <v>434.882</v>
          </cell>
          <cell r="Q60">
            <v>6347718.43</v>
          </cell>
          <cell r="R60">
            <v>4643961.249</v>
          </cell>
          <cell r="S60">
            <v>10991679.679</v>
          </cell>
        </row>
        <row r="61">
          <cell r="A61" t="str">
            <v>2021-09</v>
          </cell>
          <cell r="B61">
            <v>56318.741</v>
          </cell>
          <cell r="C61">
            <v>258476.709</v>
          </cell>
          <cell r="D61">
            <v>314795.45</v>
          </cell>
          <cell r="E61">
            <v>14116.003</v>
          </cell>
          <cell r="F61">
            <v>244113.346</v>
          </cell>
          <cell r="G61">
            <v>258229.349</v>
          </cell>
          <cell r="H61">
            <v>5370704.65</v>
          </cell>
          <cell r="I61">
            <v>1831432.846</v>
          </cell>
          <cell r="J61">
            <v>7202137.496</v>
          </cell>
          <cell r="K61">
            <v>891249.701</v>
          </cell>
          <cell r="L61">
            <v>2359440.184</v>
          </cell>
          <cell r="M61">
            <v>3250689.885</v>
          </cell>
          <cell r="N61">
            <v>38.6</v>
          </cell>
          <cell r="O61">
            <v>318.047</v>
          </cell>
          <cell r="P61">
            <v>356.647</v>
          </cell>
          <cell r="Q61">
            <v>6332427.695</v>
          </cell>
          <cell r="R61">
            <v>4693781.132</v>
          </cell>
          <cell r="S61">
            <v>11026208.827</v>
          </cell>
        </row>
        <row r="62">
          <cell r="A62" t="str">
            <v>2021-08</v>
          </cell>
          <cell r="B62">
            <v>55750.712</v>
          </cell>
          <cell r="C62">
            <v>252687.761</v>
          </cell>
          <cell r="D62">
            <v>308438.473</v>
          </cell>
          <cell r="E62">
            <v>14062.811</v>
          </cell>
          <cell r="F62">
            <v>245920.037</v>
          </cell>
          <cell r="G62">
            <v>259982.848</v>
          </cell>
          <cell r="H62">
            <v>5322376.135</v>
          </cell>
          <cell r="I62">
            <v>1853214.734</v>
          </cell>
          <cell r="J62">
            <v>7175590.869</v>
          </cell>
          <cell r="K62">
            <v>884762.929</v>
          </cell>
          <cell r="L62">
            <v>2354448.675</v>
          </cell>
          <cell r="M62">
            <v>3239211.604</v>
          </cell>
          <cell r="N62">
            <v>42.6</v>
          </cell>
          <cell r="O62">
            <v>348.072</v>
          </cell>
          <cell r="P62">
            <v>390.672</v>
          </cell>
          <cell r="Q62">
            <v>6276995.187</v>
          </cell>
          <cell r="R62">
            <v>4706619.279</v>
          </cell>
          <cell r="S62">
            <v>10983614.466</v>
          </cell>
        </row>
        <row r="63">
          <cell r="A63" t="str">
            <v>2021-07</v>
          </cell>
          <cell r="B63">
            <v>56726.437</v>
          </cell>
          <cell r="C63">
            <v>240766.58</v>
          </cell>
          <cell r="D63">
            <v>297493.017</v>
          </cell>
          <cell r="E63">
            <v>15163.934</v>
          </cell>
          <cell r="F63">
            <v>240031.18</v>
          </cell>
          <cell r="G63">
            <v>255195.114</v>
          </cell>
          <cell r="H63">
            <v>5321591.31</v>
          </cell>
          <cell r="I63">
            <v>1864093.757</v>
          </cell>
          <cell r="J63">
            <v>7185685.067</v>
          </cell>
          <cell r="K63">
            <v>872637.872</v>
          </cell>
          <cell r="L63">
            <v>2337324.789</v>
          </cell>
          <cell r="M63">
            <v>3209962.661</v>
          </cell>
          <cell r="N63">
            <v>42.6</v>
          </cell>
          <cell r="O63">
            <v>388.656</v>
          </cell>
          <cell r="P63">
            <v>431.256</v>
          </cell>
          <cell r="Q63">
            <v>6266162.153</v>
          </cell>
          <cell r="R63">
            <v>4682604.962</v>
          </cell>
          <cell r="S63">
            <v>10948767.115</v>
          </cell>
        </row>
        <row r="64">
          <cell r="A64" t="str">
            <v>2021-06</v>
          </cell>
          <cell r="B64">
            <v>57539.876</v>
          </cell>
          <cell r="C64">
            <v>241645.095</v>
          </cell>
          <cell r="D64">
            <v>299184.971</v>
          </cell>
          <cell r="E64">
            <v>16438.555</v>
          </cell>
          <cell r="F64">
            <v>227520.243</v>
          </cell>
          <cell r="G64">
            <v>243958.798</v>
          </cell>
          <cell r="H64">
            <v>5689661.078</v>
          </cell>
          <cell r="I64">
            <v>1834538.735</v>
          </cell>
          <cell r="J64">
            <v>7524199.813</v>
          </cell>
          <cell r="K64">
            <v>855734.713</v>
          </cell>
          <cell r="L64">
            <v>2326381.935</v>
          </cell>
          <cell r="M64">
            <v>3182116.648</v>
          </cell>
          <cell r="N64">
            <v>28</v>
          </cell>
          <cell r="O64">
            <v>325.286</v>
          </cell>
          <cell r="P64">
            <v>353.286</v>
          </cell>
          <cell r="Q64">
            <v>6619402.222</v>
          </cell>
          <cell r="R64">
            <v>4630411.294</v>
          </cell>
          <cell r="S64">
            <v>11249813.516</v>
          </cell>
        </row>
        <row r="65">
          <cell r="A65" t="str">
            <v>2021-05</v>
          </cell>
          <cell r="B65">
            <v>53557.203</v>
          </cell>
          <cell r="C65">
            <v>216425.177</v>
          </cell>
          <cell r="D65">
            <v>269982.38</v>
          </cell>
          <cell r="E65">
            <v>17306.817</v>
          </cell>
          <cell r="F65">
            <v>207521.762</v>
          </cell>
          <cell r="G65">
            <v>224828.579</v>
          </cell>
          <cell r="H65">
            <v>5303814.405</v>
          </cell>
          <cell r="I65">
            <v>1818305.313</v>
          </cell>
          <cell r="J65">
            <v>7122119.718</v>
          </cell>
          <cell r="K65">
            <v>844015.817</v>
          </cell>
          <cell r="L65">
            <v>2350625.841</v>
          </cell>
          <cell r="M65">
            <v>3194641.658</v>
          </cell>
          <cell r="N65">
            <v>123</v>
          </cell>
          <cell r="O65">
            <v>307.107</v>
          </cell>
          <cell r="P65">
            <v>430.107</v>
          </cell>
          <cell r="Q65">
            <v>6218817.242</v>
          </cell>
          <cell r="R65">
            <v>4593185.2</v>
          </cell>
          <cell r="S65">
            <v>10812002.442</v>
          </cell>
        </row>
        <row r="66">
          <cell r="A66" t="str">
            <v>2021-04</v>
          </cell>
          <cell r="B66">
            <v>52217.201</v>
          </cell>
          <cell r="C66">
            <v>206580.426</v>
          </cell>
          <cell r="D66">
            <v>258797.627</v>
          </cell>
          <cell r="E66">
            <v>19005.976</v>
          </cell>
          <cell r="F66">
            <v>196020.621</v>
          </cell>
          <cell r="G66">
            <v>215026.597</v>
          </cell>
          <cell r="H66">
            <v>5302791.623</v>
          </cell>
          <cell r="I66">
            <v>1822402.771</v>
          </cell>
          <cell r="J66">
            <v>7125194.394</v>
          </cell>
          <cell r="K66">
            <v>836612.784</v>
          </cell>
          <cell r="L66">
            <v>2332302.404</v>
          </cell>
          <cell r="M66">
            <v>3168915.188</v>
          </cell>
          <cell r="N66">
            <v>119</v>
          </cell>
          <cell r="O66">
            <v>315.466</v>
          </cell>
          <cell r="P66">
            <v>434.466</v>
          </cell>
          <cell r="Q66">
            <v>6210746.584</v>
          </cell>
          <cell r="R66">
            <v>4557621.688</v>
          </cell>
          <cell r="S66">
            <v>10768368.272</v>
          </cell>
        </row>
        <row r="67">
          <cell r="A67" t="str">
            <v>2021-03</v>
          </cell>
          <cell r="B67">
            <v>52390.223</v>
          </cell>
          <cell r="C67">
            <v>208314.817</v>
          </cell>
          <cell r="D67">
            <v>260705.04</v>
          </cell>
          <cell r="E67">
            <v>20802.266</v>
          </cell>
          <cell r="F67">
            <v>179561.958</v>
          </cell>
          <cell r="G67">
            <v>200364.224</v>
          </cell>
          <cell r="H67">
            <v>5345380.719</v>
          </cell>
          <cell r="I67">
            <v>1811116.779</v>
          </cell>
          <cell r="J67">
            <v>7156497.498</v>
          </cell>
          <cell r="K67">
            <v>836321.134</v>
          </cell>
          <cell r="L67">
            <v>2335744.676</v>
          </cell>
          <cell r="M67">
            <v>3172065.81</v>
          </cell>
          <cell r="N67">
            <v>20</v>
          </cell>
          <cell r="O67">
            <v>316.373</v>
          </cell>
          <cell r="P67">
            <v>336.373</v>
          </cell>
          <cell r="Q67">
            <v>6254914.342</v>
          </cell>
          <cell r="R67">
            <v>4535054.603</v>
          </cell>
          <cell r="S67">
            <v>10789968.945</v>
          </cell>
        </row>
        <row r="68">
          <cell r="A68" t="str">
            <v>2021-02</v>
          </cell>
          <cell r="B68">
            <v>54507.171</v>
          </cell>
          <cell r="C68">
            <v>195111.931</v>
          </cell>
          <cell r="D68">
            <v>249619.102</v>
          </cell>
          <cell r="E68">
            <v>19003.559</v>
          </cell>
          <cell r="F68">
            <v>173804.465</v>
          </cell>
          <cell r="G68">
            <v>192808.024</v>
          </cell>
          <cell r="H68">
            <v>5425299.14</v>
          </cell>
          <cell r="I68">
            <v>1795979.618</v>
          </cell>
          <cell r="J68">
            <v>7221278.758</v>
          </cell>
          <cell r="K68">
            <v>835886.738</v>
          </cell>
          <cell r="L68">
            <v>2331788.245</v>
          </cell>
          <cell r="M68">
            <v>3167674.983</v>
          </cell>
          <cell r="N68">
            <v>20.5</v>
          </cell>
          <cell r="O68">
            <v>305.622</v>
          </cell>
          <cell r="P68">
            <v>326.122</v>
          </cell>
          <cell r="Q68">
            <v>6334717.108</v>
          </cell>
          <cell r="R68">
            <v>4496989.881</v>
          </cell>
          <cell r="S68">
            <v>10831706.989</v>
          </cell>
        </row>
        <row r="69">
          <cell r="A69" t="str">
            <v>2021-01</v>
          </cell>
          <cell r="B69">
            <v>55403.265</v>
          </cell>
          <cell r="C69">
            <v>189823.89</v>
          </cell>
          <cell r="D69">
            <v>245227.155</v>
          </cell>
          <cell r="E69">
            <v>19175.137</v>
          </cell>
          <cell r="F69">
            <v>169798.902</v>
          </cell>
          <cell r="G69">
            <v>188974.039</v>
          </cell>
          <cell r="H69">
            <v>6369449.834</v>
          </cell>
          <cell r="I69">
            <v>1784534.31</v>
          </cell>
          <cell r="J69">
            <v>8153984.144</v>
          </cell>
          <cell r="K69">
            <v>834436.103</v>
          </cell>
          <cell r="L69">
            <v>2315080.297</v>
          </cell>
          <cell r="M69">
            <v>3149516.4</v>
          </cell>
          <cell r="N69">
            <v>20.5</v>
          </cell>
          <cell r="O69">
            <v>307.49</v>
          </cell>
          <cell r="P69">
            <v>327.99</v>
          </cell>
          <cell r="Q69">
            <v>7278484.839</v>
          </cell>
          <cell r="R69">
            <v>4459544.889</v>
          </cell>
          <cell r="S69">
            <v>11738029.728</v>
          </cell>
        </row>
        <row r="70">
          <cell r="A70" t="str">
            <v>2020-12</v>
          </cell>
          <cell r="B70">
            <v>55943.259</v>
          </cell>
          <cell r="C70">
            <v>191560.494</v>
          </cell>
          <cell r="D70">
            <v>247503.753</v>
          </cell>
          <cell r="E70">
            <v>19221.263</v>
          </cell>
          <cell r="F70">
            <v>158076.353</v>
          </cell>
          <cell r="G70">
            <v>177297.616</v>
          </cell>
          <cell r="H70">
            <v>5187114.761</v>
          </cell>
          <cell r="I70">
            <v>1744944.223</v>
          </cell>
          <cell r="J70">
            <v>6932058.984</v>
          </cell>
          <cell r="K70">
            <v>844660.277</v>
          </cell>
          <cell r="L70">
            <v>2296728.63</v>
          </cell>
          <cell r="M70">
            <v>3141388.907</v>
          </cell>
          <cell r="N70">
            <v>20.5</v>
          </cell>
          <cell r="O70">
            <v>307.681</v>
          </cell>
          <cell r="P70">
            <v>328.181</v>
          </cell>
          <cell r="Q70">
            <v>6106960.06</v>
          </cell>
          <cell r="R70">
            <v>4391617.381</v>
          </cell>
          <cell r="S70">
            <v>10498577.441</v>
          </cell>
        </row>
        <row r="71">
          <cell r="A71" t="str">
            <v>2020-11</v>
          </cell>
          <cell r="B71">
            <v>55456.448</v>
          </cell>
          <cell r="C71">
            <v>194415.126</v>
          </cell>
          <cell r="D71">
            <v>249871.574</v>
          </cell>
          <cell r="E71">
            <v>20193.436</v>
          </cell>
          <cell r="F71">
            <v>185118.653</v>
          </cell>
          <cell r="G71">
            <v>205312.089</v>
          </cell>
          <cell r="H71">
            <v>5146724.24</v>
          </cell>
          <cell r="I71">
            <v>1756301.681</v>
          </cell>
          <cell r="J71">
            <v>6903025.921</v>
          </cell>
          <cell r="K71">
            <v>850421.233</v>
          </cell>
          <cell r="L71">
            <v>2334757.647</v>
          </cell>
          <cell r="M71">
            <v>3185178.88</v>
          </cell>
          <cell r="N71">
            <v>22.5</v>
          </cell>
          <cell r="O71">
            <v>312.176</v>
          </cell>
          <cell r="P71">
            <v>334.676</v>
          </cell>
          <cell r="Q71">
            <v>6072817.857</v>
          </cell>
          <cell r="R71">
            <v>4470905.283</v>
          </cell>
          <cell r="S71">
            <v>10543723.14</v>
          </cell>
        </row>
        <row r="72">
          <cell r="A72" t="str">
            <v>2020-10</v>
          </cell>
          <cell r="B72">
            <v>57055.645</v>
          </cell>
          <cell r="C72">
            <v>196459.19</v>
          </cell>
          <cell r="D72">
            <v>253514.835</v>
          </cell>
          <cell r="E72">
            <v>19520.123</v>
          </cell>
          <cell r="F72">
            <v>185789.484</v>
          </cell>
          <cell r="G72">
            <v>205309.607</v>
          </cell>
          <cell r="H72">
            <v>6129787.043</v>
          </cell>
          <cell r="I72">
            <v>1745030.858</v>
          </cell>
          <cell r="J72">
            <v>7874817.901</v>
          </cell>
          <cell r="K72">
            <v>853467.913</v>
          </cell>
          <cell r="L72">
            <v>2358603.784</v>
          </cell>
          <cell r="M72">
            <v>3212071.697</v>
          </cell>
          <cell r="N72">
            <v>23.5</v>
          </cell>
          <cell r="O72">
            <v>311.877</v>
          </cell>
          <cell r="P72">
            <v>335.377</v>
          </cell>
          <cell r="Q72">
            <v>7059854.224</v>
          </cell>
          <cell r="R72">
            <v>4486195.193</v>
          </cell>
          <cell r="S72">
            <v>11546049.417</v>
          </cell>
        </row>
        <row r="73">
          <cell r="A73" t="str">
            <v>2020-09</v>
          </cell>
          <cell r="B73">
            <v>58174.556</v>
          </cell>
          <cell r="C73">
            <v>199347.001</v>
          </cell>
          <cell r="D73">
            <v>257521.557</v>
          </cell>
          <cell r="E73">
            <v>20210.453</v>
          </cell>
          <cell r="F73">
            <v>179487.261</v>
          </cell>
          <cell r="G73">
            <v>199697.714</v>
          </cell>
          <cell r="H73">
            <v>5582269.21</v>
          </cell>
          <cell r="I73">
            <v>1737308.252</v>
          </cell>
          <cell r="J73">
            <v>7319577.462</v>
          </cell>
          <cell r="K73">
            <v>856426.508</v>
          </cell>
          <cell r="L73">
            <v>2397939.396</v>
          </cell>
          <cell r="M73">
            <v>3254365.904</v>
          </cell>
          <cell r="N73">
            <v>23.5</v>
          </cell>
          <cell r="O73">
            <v>313.487</v>
          </cell>
          <cell r="P73">
            <v>336.987</v>
          </cell>
          <cell r="Q73">
            <v>6517104.227</v>
          </cell>
          <cell r="R73">
            <v>4514395.397</v>
          </cell>
          <cell r="S73">
            <v>11031499.624</v>
          </cell>
        </row>
        <row r="74">
          <cell r="A74" t="str">
            <v>2020-08</v>
          </cell>
          <cell r="B74">
            <v>58956.026</v>
          </cell>
          <cell r="C74">
            <v>194839.015</v>
          </cell>
          <cell r="D74">
            <v>253795.041</v>
          </cell>
          <cell r="E74">
            <v>20604.744</v>
          </cell>
          <cell r="F74">
            <v>189888.295</v>
          </cell>
          <cell r="G74">
            <v>210493.039</v>
          </cell>
          <cell r="H74">
            <v>5620203.479</v>
          </cell>
          <cell r="I74">
            <v>1777747.676</v>
          </cell>
          <cell r="J74">
            <v>7397951.155</v>
          </cell>
          <cell r="K74">
            <v>865758.27</v>
          </cell>
          <cell r="L74">
            <v>2396984.125</v>
          </cell>
          <cell r="M74">
            <v>3262742.395</v>
          </cell>
          <cell r="N74">
            <v>23.5</v>
          </cell>
          <cell r="O74">
            <v>316.284</v>
          </cell>
          <cell r="P74">
            <v>339.784</v>
          </cell>
          <cell r="Q74">
            <v>6565546.019</v>
          </cell>
          <cell r="R74">
            <v>4559775.395</v>
          </cell>
          <cell r="S74">
            <v>11125321.414</v>
          </cell>
        </row>
        <row r="75">
          <cell r="A75" t="str">
            <v>2020-07</v>
          </cell>
          <cell r="B75">
            <v>60847.687</v>
          </cell>
          <cell r="C75">
            <v>195285.674</v>
          </cell>
          <cell r="D75">
            <v>256133.361</v>
          </cell>
          <cell r="E75">
            <v>19571.396</v>
          </cell>
          <cell r="F75">
            <v>193935.485</v>
          </cell>
          <cell r="G75">
            <v>213506.881</v>
          </cell>
          <cell r="H75">
            <v>5316746.132</v>
          </cell>
          <cell r="I75">
            <v>1820734.088</v>
          </cell>
          <cell r="J75">
            <v>7137480.22</v>
          </cell>
          <cell r="K75">
            <v>857550.327</v>
          </cell>
          <cell r="L75">
            <v>2409297.379</v>
          </cell>
          <cell r="M75">
            <v>3266847.706</v>
          </cell>
          <cell r="N75">
            <v>23.5</v>
          </cell>
          <cell r="O75">
            <v>318.013</v>
          </cell>
          <cell r="P75">
            <v>341.513</v>
          </cell>
          <cell r="Q75">
            <v>6254739.042</v>
          </cell>
          <cell r="R75">
            <v>4619570.639</v>
          </cell>
          <cell r="S75">
            <v>10874309.681</v>
          </cell>
        </row>
        <row r="76">
          <cell r="A76" t="str">
            <v>2020-06</v>
          </cell>
          <cell r="B76">
            <v>61583.037</v>
          </cell>
          <cell r="C76">
            <v>201102.945</v>
          </cell>
          <cell r="D76">
            <v>262685.982</v>
          </cell>
          <cell r="E76">
            <v>17372.681</v>
          </cell>
          <cell r="F76">
            <v>194429.388</v>
          </cell>
          <cell r="G76">
            <v>211802.069</v>
          </cell>
          <cell r="H76">
            <v>5167979.819</v>
          </cell>
          <cell r="I76">
            <v>1784286.82</v>
          </cell>
          <cell r="J76">
            <v>6952266.639</v>
          </cell>
          <cell r="K76">
            <v>849545.308</v>
          </cell>
          <cell r="L76">
            <v>2416285.521</v>
          </cell>
          <cell r="M76">
            <v>3265830.829</v>
          </cell>
          <cell r="N76">
            <v>24</v>
          </cell>
          <cell r="O76">
            <v>84.082</v>
          </cell>
          <cell r="P76">
            <v>108.082</v>
          </cell>
          <cell r="Q76">
            <v>6096504.845</v>
          </cell>
          <cell r="R76">
            <v>4596188.756</v>
          </cell>
          <cell r="S76">
            <v>10692693.601</v>
          </cell>
        </row>
        <row r="77">
          <cell r="A77" t="str">
            <v>2020-05</v>
          </cell>
          <cell r="B77">
            <v>63970.279</v>
          </cell>
          <cell r="C77">
            <v>199994.481</v>
          </cell>
          <cell r="D77">
            <v>263964.76</v>
          </cell>
          <cell r="E77">
            <v>17846.072</v>
          </cell>
          <cell r="F77">
            <v>198603.483</v>
          </cell>
          <cell r="G77">
            <v>216449.555</v>
          </cell>
          <cell r="H77">
            <v>5179108.749</v>
          </cell>
          <cell r="I77">
            <v>1802994.81</v>
          </cell>
          <cell r="J77">
            <v>6982103.559</v>
          </cell>
          <cell r="K77">
            <v>854066.078</v>
          </cell>
          <cell r="L77">
            <v>2400586.161</v>
          </cell>
          <cell r="M77">
            <v>3254652.239</v>
          </cell>
          <cell r="N77">
            <v>24</v>
          </cell>
          <cell r="O77">
            <v>85.993</v>
          </cell>
          <cell r="P77">
            <v>109.993</v>
          </cell>
          <cell r="Q77">
            <v>6115015.178</v>
          </cell>
          <cell r="R77">
            <v>4602264.928</v>
          </cell>
          <cell r="S77">
            <v>10717280.106</v>
          </cell>
        </row>
        <row r="78">
          <cell r="A78" t="str">
            <v>2020-04</v>
          </cell>
          <cell r="B78">
            <v>63833.273</v>
          </cell>
          <cell r="C78">
            <v>203282.036</v>
          </cell>
          <cell r="D78">
            <v>267115.309</v>
          </cell>
          <cell r="E78">
            <v>15880.033</v>
          </cell>
          <cell r="F78">
            <v>204303.205</v>
          </cell>
          <cell r="G78">
            <v>220183.238</v>
          </cell>
          <cell r="H78">
            <v>5182976.53</v>
          </cell>
          <cell r="I78">
            <v>1809578.02</v>
          </cell>
          <cell r="J78">
            <v>6992554.55</v>
          </cell>
          <cell r="K78">
            <v>869763.402</v>
          </cell>
          <cell r="L78">
            <v>2399111.958</v>
          </cell>
          <cell r="M78">
            <v>3268875.36</v>
          </cell>
          <cell r="N78">
            <v>36</v>
          </cell>
          <cell r="O78">
            <v>86.149</v>
          </cell>
          <cell r="P78">
            <v>122.149</v>
          </cell>
          <cell r="Q78">
            <v>6132489.238</v>
          </cell>
          <cell r="R78">
            <v>4616361.368</v>
          </cell>
          <cell r="S78">
            <v>10748850.606</v>
          </cell>
        </row>
        <row r="79">
          <cell r="A79" t="str">
            <v>2020-03</v>
          </cell>
          <cell r="B79">
            <v>64290.627</v>
          </cell>
          <cell r="C79">
            <v>209336.686</v>
          </cell>
          <cell r="D79">
            <v>273627.313</v>
          </cell>
          <cell r="E79">
            <v>14661.153</v>
          </cell>
          <cell r="F79">
            <v>192321.454</v>
          </cell>
          <cell r="G79">
            <v>206982.607</v>
          </cell>
          <cell r="H79">
            <v>5233794.147</v>
          </cell>
          <cell r="I79">
            <v>1770694.522</v>
          </cell>
          <cell r="J79">
            <v>7004488.669</v>
          </cell>
          <cell r="K79">
            <v>879277.528</v>
          </cell>
          <cell r="L79">
            <v>2307265.78</v>
          </cell>
          <cell r="M79">
            <v>3186543.308</v>
          </cell>
          <cell r="N79">
            <v>36</v>
          </cell>
          <cell r="O79">
            <v>86.479</v>
          </cell>
          <cell r="P79">
            <v>122.479</v>
          </cell>
          <cell r="Q79">
            <v>6192059.455</v>
          </cell>
          <cell r="R79">
            <v>4479704.921</v>
          </cell>
          <cell r="S79">
            <v>10671764.376</v>
          </cell>
        </row>
        <row r="80">
          <cell r="A80" t="str">
            <v>2020-02</v>
          </cell>
          <cell r="B80">
            <v>65363.475</v>
          </cell>
          <cell r="C80">
            <v>195283.06</v>
          </cell>
          <cell r="D80">
            <v>260646.535</v>
          </cell>
          <cell r="E80">
            <v>16359.773</v>
          </cell>
          <cell r="F80">
            <v>185472.036</v>
          </cell>
          <cell r="G80">
            <v>201831.809</v>
          </cell>
          <cell r="H80">
            <v>5246996.943</v>
          </cell>
          <cell r="I80">
            <v>1648901.464</v>
          </cell>
          <cell r="J80">
            <v>6895898.407</v>
          </cell>
          <cell r="K80">
            <v>894442.21</v>
          </cell>
          <cell r="L80">
            <v>2247799.29</v>
          </cell>
          <cell r="M80">
            <v>3142241.5</v>
          </cell>
          <cell r="N80">
            <v>24</v>
          </cell>
          <cell r="O80">
            <v>86.014</v>
          </cell>
          <cell r="P80">
            <v>110.014</v>
          </cell>
          <cell r="Q80">
            <v>6223186.401</v>
          </cell>
          <cell r="R80">
            <v>4277541.864</v>
          </cell>
          <cell r="S80">
            <v>10500728.265</v>
          </cell>
        </row>
        <row r="81">
          <cell r="A81" t="str">
            <v>2020-01</v>
          </cell>
          <cell r="B81">
            <v>68259.139</v>
          </cell>
          <cell r="C81">
            <v>188118.719</v>
          </cell>
          <cell r="D81">
            <v>256377.858</v>
          </cell>
          <cell r="E81">
            <v>19395.299</v>
          </cell>
          <cell r="F81">
            <v>168009.316</v>
          </cell>
          <cell r="G81">
            <v>187404.615</v>
          </cell>
          <cell r="H81">
            <v>5233501.337</v>
          </cell>
          <cell r="I81">
            <v>1618134.137</v>
          </cell>
          <cell r="J81">
            <v>6851635.474</v>
          </cell>
          <cell r="K81">
            <v>899807.984</v>
          </cell>
          <cell r="L81">
            <v>2250320.964</v>
          </cell>
          <cell r="M81">
            <v>3150128.948</v>
          </cell>
          <cell r="N81">
            <v>24</v>
          </cell>
          <cell r="O81">
            <v>87.726</v>
          </cell>
          <cell r="P81">
            <v>111.726</v>
          </cell>
          <cell r="Q81">
            <v>6220987.759</v>
          </cell>
          <cell r="R81">
            <v>4224670.862</v>
          </cell>
          <cell r="S81">
            <v>10445658.621</v>
          </cell>
        </row>
        <row r="82">
          <cell r="A82" t="str">
            <v>2019-12</v>
          </cell>
          <cell r="B82">
            <v>71315.566</v>
          </cell>
          <cell r="C82">
            <v>199211.048</v>
          </cell>
          <cell r="D82">
            <v>270526.614</v>
          </cell>
          <cell r="E82">
            <v>22919.988</v>
          </cell>
          <cell r="F82">
            <v>159536.771</v>
          </cell>
          <cell r="G82">
            <v>182456.759</v>
          </cell>
          <cell r="H82">
            <v>5217390.438</v>
          </cell>
          <cell r="I82">
            <v>1569216.946</v>
          </cell>
          <cell r="J82">
            <v>6786607.384</v>
          </cell>
          <cell r="K82">
            <v>907718.686</v>
          </cell>
          <cell r="L82">
            <v>2229280.354</v>
          </cell>
          <cell r="M82">
            <v>3136999.04</v>
          </cell>
          <cell r="N82">
            <v>32</v>
          </cell>
          <cell r="O82">
            <v>79.655</v>
          </cell>
          <cell r="P82">
            <v>111.655</v>
          </cell>
          <cell r="Q82">
            <v>6219376.678</v>
          </cell>
          <cell r="R82">
            <v>4157324.774</v>
          </cell>
          <cell r="S82">
            <v>10376701.452</v>
          </cell>
        </row>
        <row r="83">
          <cell r="A83" t="str">
            <v>2019-11</v>
          </cell>
          <cell r="B83">
            <v>69758.472</v>
          </cell>
          <cell r="C83">
            <v>207041.663</v>
          </cell>
          <cell r="D83">
            <v>276800.135</v>
          </cell>
          <cell r="E83">
            <v>22109.9</v>
          </cell>
          <cell r="F83">
            <v>177191.13</v>
          </cell>
          <cell r="G83">
            <v>199301.03</v>
          </cell>
          <cell r="H83">
            <v>5207379.701</v>
          </cell>
          <cell r="I83">
            <v>1544767.198</v>
          </cell>
          <cell r="J83">
            <v>6752146.899</v>
          </cell>
          <cell r="K83">
            <v>921273.256</v>
          </cell>
          <cell r="L83">
            <v>2216911.007</v>
          </cell>
          <cell r="M83">
            <v>3138184.263</v>
          </cell>
          <cell r="N83">
            <v>61.5</v>
          </cell>
          <cell r="O83">
            <v>1005.56</v>
          </cell>
          <cell r="P83">
            <v>1067.06</v>
          </cell>
          <cell r="Q83">
            <v>6220582.829</v>
          </cell>
          <cell r="R83">
            <v>4146916.558</v>
          </cell>
          <cell r="S83">
            <v>10367499.387</v>
          </cell>
        </row>
        <row r="84">
          <cell r="A84" t="str">
            <v>2019-10</v>
          </cell>
          <cell r="B84">
            <v>73320.173</v>
          </cell>
          <cell r="C84">
            <v>205886.968</v>
          </cell>
          <cell r="D84">
            <v>279207.141</v>
          </cell>
          <cell r="E84">
            <v>22577.627</v>
          </cell>
          <cell r="F84">
            <v>184874.97</v>
          </cell>
          <cell r="G84">
            <v>207452.597</v>
          </cell>
          <cell r="H84">
            <v>5221902.938</v>
          </cell>
          <cell r="I84">
            <v>1517932.126</v>
          </cell>
          <cell r="J84">
            <v>6739835.064</v>
          </cell>
          <cell r="K84">
            <v>952679.029</v>
          </cell>
          <cell r="L84">
            <v>2170460.627</v>
          </cell>
          <cell r="M84">
            <v>3123139.656</v>
          </cell>
          <cell r="N84">
            <v>65.5</v>
          </cell>
          <cell r="O84">
            <v>140.69</v>
          </cell>
          <cell r="P84">
            <v>206.19</v>
          </cell>
          <cell r="Q84">
            <v>6270545.267</v>
          </cell>
          <cell r="R84">
            <v>4079295.381</v>
          </cell>
          <cell r="S84">
            <v>10349840.648</v>
          </cell>
        </row>
        <row r="85">
          <cell r="A85" t="str">
            <v>2019-09</v>
          </cell>
          <cell r="B85">
            <v>74049.782</v>
          </cell>
          <cell r="C85">
            <v>201218.778</v>
          </cell>
          <cell r="D85">
            <v>275268.56</v>
          </cell>
          <cell r="E85">
            <v>22794.552</v>
          </cell>
          <cell r="F85">
            <v>195465.732</v>
          </cell>
          <cell r="G85">
            <v>218260.284</v>
          </cell>
          <cell r="H85">
            <v>5189001.034</v>
          </cell>
          <cell r="I85">
            <v>1533938.786</v>
          </cell>
          <cell r="J85">
            <v>6722939.82</v>
          </cell>
          <cell r="K85">
            <v>951423.506</v>
          </cell>
          <cell r="L85">
            <v>2140779.444</v>
          </cell>
          <cell r="M85">
            <v>3092202.95</v>
          </cell>
          <cell r="N85">
            <v>69.5</v>
          </cell>
          <cell r="O85">
            <v>63.313</v>
          </cell>
          <cell r="P85">
            <v>132.813</v>
          </cell>
          <cell r="Q85">
            <v>6237338.374</v>
          </cell>
          <cell r="R85">
            <v>4071466.053</v>
          </cell>
          <cell r="S85">
            <v>10308804.427</v>
          </cell>
        </row>
        <row r="86">
          <cell r="A86" t="str">
            <v>2019-08</v>
          </cell>
          <cell r="B86">
            <v>76533.613</v>
          </cell>
          <cell r="C86">
            <v>199310.961</v>
          </cell>
          <cell r="D86">
            <v>275844.574</v>
          </cell>
          <cell r="E86">
            <v>23653.443</v>
          </cell>
          <cell r="F86">
            <v>189443.293</v>
          </cell>
          <cell r="G86">
            <v>213096.736</v>
          </cell>
          <cell r="H86">
            <v>5148635.942</v>
          </cell>
          <cell r="I86">
            <v>1502923.39</v>
          </cell>
          <cell r="J86">
            <v>6651559.332</v>
          </cell>
          <cell r="K86">
            <v>918476.977</v>
          </cell>
          <cell r="L86">
            <v>2139477.932</v>
          </cell>
          <cell r="M86">
            <v>3057954.909</v>
          </cell>
          <cell r="N86">
            <v>74</v>
          </cell>
          <cell r="O86">
            <v>147.605</v>
          </cell>
          <cell r="P86">
            <v>221.605</v>
          </cell>
          <cell r="Q86">
            <v>6167373.975</v>
          </cell>
          <cell r="R86">
            <v>4031303.181</v>
          </cell>
          <cell r="S86">
            <v>10198677.156</v>
          </cell>
        </row>
        <row r="87">
          <cell r="A87" t="str">
            <v>2019-07</v>
          </cell>
          <cell r="B87">
            <v>77874.067</v>
          </cell>
          <cell r="C87">
            <v>204129.544</v>
          </cell>
          <cell r="D87">
            <v>282003.611</v>
          </cell>
          <cell r="E87">
            <v>23468.321</v>
          </cell>
          <cell r="F87">
            <v>183477.423</v>
          </cell>
          <cell r="G87">
            <v>206945.744</v>
          </cell>
          <cell r="H87">
            <v>5138758.842</v>
          </cell>
          <cell r="I87">
            <v>1442006.65</v>
          </cell>
          <cell r="J87">
            <v>6580765.492</v>
          </cell>
          <cell r="K87">
            <v>943564.948</v>
          </cell>
          <cell r="L87">
            <v>2112166.007</v>
          </cell>
          <cell r="M87">
            <v>3055730.955</v>
          </cell>
          <cell r="N87">
            <v>79</v>
          </cell>
          <cell r="O87">
            <v>155.331</v>
          </cell>
          <cell r="P87">
            <v>234.331</v>
          </cell>
          <cell r="Q87">
            <v>6183745.178</v>
          </cell>
          <cell r="R87">
            <v>3941934.955</v>
          </cell>
          <cell r="S87">
            <v>10125680.133</v>
          </cell>
        </row>
        <row r="88">
          <cell r="A88" t="str">
            <v>2019-06</v>
          </cell>
          <cell r="B88">
            <v>79946.934</v>
          </cell>
          <cell r="C88">
            <v>212987.536</v>
          </cell>
          <cell r="D88">
            <v>292934.47</v>
          </cell>
          <cell r="E88">
            <v>24042.8</v>
          </cell>
          <cell r="F88">
            <v>185914.935</v>
          </cell>
          <cell r="G88">
            <v>209957.735</v>
          </cell>
          <cell r="H88">
            <v>5155368.151</v>
          </cell>
          <cell r="I88">
            <v>1423846.176</v>
          </cell>
          <cell r="J88">
            <v>6579214.327</v>
          </cell>
          <cell r="K88">
            <v>950993.932</v>
          </cell>
          <cell r="L88">
            <v>2098225.328</v>
          </cell>
          <cell r="M88">
            <v>3049219.26</v>
          </cell>
          <cell r="N88">
            <v>87.5</v>
          </cell>
          <cell r="O88">
            <v>165.522</v>
          </cell>
          <cell r="P88">
            <v>253.022</v>
          </cell>
          <cell r="Q88">
            <v>6210439.317</v>
          </cell>
          <cell r="R88">
            <v>3921139.497</v>
          </cell>
          <cell r="S88">
            <v>10131578.814</v>
          </cell>
        </row>
        <row r="89">
          <cell r="A89" t="str">
            <v>2019-05</v>
          </cell>
          <cell r="B89">
            <v>75037.839</v>
          </cell>
          <cell r="C89">
            <v>217775.89</v>
          </cell>
          <cell r="D89">
            <v>292813.729</v>
          </cell>
          <cell r="E89">
            <v>22712.143</v>
          </cell>
          <cell r="F89">
            <v>187095.743</v>
          </cell>
          <cell r="G89">
            <v>209807.886</v>
          </cell>
          <cell r="H89">
            <v>5077492.683</v>
          </cell>
          <cell r="I89">
            <v>1418475.723</v>
          </cell>
          <cell r="J89">
            <v>6495968.406</v>
          </cell>
          <cell r="K89">
            <v>935172.786</v>
          </cell>
          <cell r="L89">
            <v>2089282.815</v>
          </cell>
          <cell r="M89">
            <v>3024455.601</v>
          </cell>
          <cell r="N89">
            <v>76.5</v>
          </cell>
          <cell r="O89">
            <v>161.174</v>
          </cell>
          <cell r="P89">
            <v>237.674</v>
          </cell>
          <cell r="Q89">
            <v>6110491.951</v>
          </cell>
          <cell r="R89">
            <v>3912791.345</v>
          </cell>
          <cell r="S89">
            <v>10023283.296</v>
          </cell>
        </row>
        <row r="90">
          <cell r="A90" t="str">
            <v>2019-04</v>
          </cell>
          <cell r="B90">
            <v>73852.248</v>
          </cell>
          <cell r="C90">
            <v>218733.775</v>
          </cell>
          <cell r="D90">
            <v>292586.023</v>
          </cell>
          <cell r="E90">
            <v>21153.928</v>
          </cell>
          <cell r="F90">
            <v>170439.111</v>
          </cell>
          <cell r="G90">
            <v>191593.039</v>
          </cell>
          <cell r="H90">
            <v>5073217.9</v>
          </cell>
          <cell r="I90">
            <v>1436602.569</v>
          </cell>
          <cell r="J90">
            <v>6509820.469</v>
          </cell>
          <cell r="K90">
            <v>936989.174</v>
          </cell>
          <cell r="L90">
            <v>2092327.858</v>
          </cell>
          <cell r="M90">
            <v>3029317.032</v>
          </cell>
          <cell r="N90">
            <v>104.5</v>
          </cell>
          <cell r="O90">
            <v>160.618</v>
          </cell>
          <cell r="P90">
            <v>265.118</v>
          </cell>
          <cell r="Q90">
            <v>6105317.75</v>
          </cell>
          <cell r="R90">
            <v>3918263.931</v>
          </cell>
          <cell r="S90">
            <v>10023581.681</v>
          </cell>
        </row>
        <row r="91">
          <cell r="A91" t="str">
            <v>2019-03</v>
          </cell>
          <cell r="B91">
            <v>75555.127</v>
          </cell>
          <cell r="C91">
            <v>221267.253</v>
          </cell>
          <cell r="D91">
            <v>296822.38</v>
          </cell>
          <cell r="E91">
            <v>20904.021</v>
          </cell>
          <cell r="F91">
            <v>169438.768</v>
          </cell>
          <cell r="G91">
            <v>190342.789</v>
          </cell>
          <cell r="H91">
            <v>5017839.418</v>
          </cell>
          <cell r="I91">
            <v>1417646.523</v>
          </cell>
          <cell r="J91">
            <v>6435485.941</v>
          </cell>
          <cell r="K91">
            <v>923863.344</v>
          </cell>
          <cell r="L91">
            <v>2101211.476</v>
          </cell>
          <cell r="M91">
            <v>3025074.82</v>
          </cell>
          <cell r="N91">
            <v>119.5</v>
          </cell>
          <cell r="O91">
            <v>165.102</v>
          </cell>
          <cell r="P91">
            <v>284.602</v>
          </cell>
          <cell r="Q91">
            <v>6038281.41</v>
          </cell>
          <cell r="R91">
            <v>3909729.122</v>
          </cell>
          <cell r="S91">
            <v>9948010.532</v>
          </cell>
        </row>
        <row r="92">
          <cell r="A92" t="str">
            <v>2019-02</v>
          </cell>
          <cell r="B92">
            <v>73788.434</v>
          </cell>
          <cell r="C92">
            <v>212903.814</v>
          </cell>
          <cell r="D92">
            <v>286692.248</v>
          </cell>
          <cell r="E92">
            <v>18859.231</v>
          </cell>
          <cell r="F92">
            <v>172109.218</v>
          </cell>
          <cell r="G92">
            <v>190968.449</v>
          </cell>
          <cell r="H92">
            <v>4951173.756</v>
          </cell>
          <cell r="I92">
            <v>1410722.754</v>
          </cell>
          <cell r="J92">
            <v>6361896.51</v>
          </cell>
          <cell r="K92">
            <v>890796.154</v>
          </cell>
          <cell r="L92">
            <v>2106562.372</v>
          </cell>
          <cell r="M92">
            <v>2997358.526</v>
          </cell>
          <cell r="N92">
            <v>119.5</v>
          </cell>
          <cell r="O92">
            <v>168.276</v>
          </cell>
          <cell r="P92">
            <v>287.776</v>
          </cell>
          <cell r="Q92">
            <v>5934737.075</v>
          </cell>
          <cell r="R92">
            <v>3902466.434</v>
          </cell>
          <cell r="S92">
            <v>9837203.509</v>
          </cell>
        </row>
        <row r="93">
          <cell r="A93" t="str">
            <v>2019-01</v>
          </cell>
          <cell r="B93">
            <v>74744.768</v>
          </cell>
          <cell r="C93">
            <v>213940.737</v>
          </cell>
          <cell r="D93">
            <v>288685.505</v>
          </cell>
          <cell r="E93">
            <v>17248.724</v>
          </cell>
          <cell r="F93">
            <v>168642.835</v>
          </cell>
          <cell r="G93">
            <v>185891.559</v>
          </cell>
          <cell r="H93">
            <v>4925611.301</v>
          </cell>
          <cell r="I93">
            <v>1438230.419</v>
          </cell>
          <cell r="J93">
            <v>6363841.72</v>
          </cell>
          <cell r="K93">
            <v>873503.261</v>
          </cell>
          <cell r="L93">
            <v>2104419.416</v>
          </cell>
          <cell r="M93">
            <v>2977922.677</v>
          </cell>
          <cell r="N93">
            <v>133.5</v>
          </cell>
          <cell r="O93">
            <v>157.622</v>
          </cell>
          <cell r="P93">
            <v>291.122</v>
          </cell>
          <cell r="Q93">
            <v>5891241.554</v>
          </cell>
          <cell r="R93">
            <v>3925391.029</v>
          </cell>
          <cell r="S93">
            <v>9816632.583</v>
          </cell>
        </row>
        <row r="94">
          <cell r="A94" t="str">
            <v>2018-12</v>
          </cell>
          <cell r="B94">
            <v>74875.096</v>
          </cell>
          <cell r="C94">
            <v>202995.69</v>
          </cell>
          <cell r="D94">
            <v>277870.786</v>
          </cell>
          <cell r="E94">
            <v>12467.458</v>
          </cell>
          <cell r="F94">
            <v>165653.267</v>
          </cell>
          <cell r="G94">
            <v>178120.725</v>
          </cell>
          <cell r="H94">
            <v>4900393.842</v>
          </cell>
          <cell r="I94">
            <v>1419127.538</v>
          </cell>
          <cell r="J94">
            <v>6319521.38</v>
          </cell>
          <cell r="K94">
            <v>848348.084</v>
          </cell>
          <cell r="L94">
            <v>2098451.276</v>
          </cell>
          <cell r="M94">
            <v>2946799.36</v>
          </cell>
          <cell r="N94">
            <v>153.5</v>
          </cell>
          <cell r="O94">
            <v>156.819</v>
          </cell>
          <cell r="P94">
            <v>310.319</v>
          </cell>
          <cell r="Q94">
            <v>5836237.98</v>
          </cell>
          <cell r="R94">
            <v>3886384.59</v>
          </cell>
          <cell r="S94">
            <v>9722622.57</v>
          </cell>
        </row>
      </sheetData>
      <sheetData sheetId="6">
        <row r="1">
          <cell r="A1" t="str">
            <v>end_of_month</v>
          </cell>
          <cell r="B1" t="str">
            <v>mfg</v>
          </cell>
          <cell r="C1" t="str">
            <v>mfg_chg</v>
          </cell>
          <cell r="D1" t="str">
            <v>mfg_textiles</v>
          </cell>
          <cell r="E1" t="str">
            <v>mfg_textiles_chg</v>
          </cell>
          <cell r="F1" t="str">
            <v>mfg_footwear</v>
          </cell>
          <cell r="G1" t="str">
            <v>mfg_footwear_chg</v>
          </cell>
          <cell r="H1" t="str">
            <v>mfg_metalengr</v>
          </cell>
          <cell r="I1" t="str">
            <v>mfg_metalengr_chg</v>
          </cell>
          <cell r="J1" t="str">
            <v>mfg_rubbplastchem</v>
          </cell>
          <cell r="K1" t="str">
            <v>mfg_rubbplastchem_chg</v>
          </cell>
          <cell r="L1" t="str">
            <v>mfg_shipbuildrepair</v>
          </cell>
          <cell r="M1" t="str">
            <v>mfg_shipbuildrepair_chg</v>
          </cell>
          <cell r="N1" t="str">
            <v>mfg_ee</v>
          </cell>
          <cell r="O1" t="str">
            <v>mfg_ee_chg</v>
          </cell>
          <cell r="P1" t="str">
            <v>mfg_ee_teleequip</v>
          </cell>
          <cell r="Q1" t="str">
            <v>mfg_ee_teleequip_chg</v>
          </cell>
          <cell r="R1" t="str">
            <v>mfg_ee_other</v>
          </cell>
          <cell r="S1" t="str">
            <v>mfg_ee_other_chg</v>
          </cell>
          <cell r="T1" t="str">
            <v>mfg_food</v>
          </cell>
          <cell r="U1" t="str">
            <v>mfg_food_chg</v>
          </cell>
          <cell r="V1" t="str">
            <v>mfg_bevtob</v>
          </cell>
          <cell r="W1" t="str">
            <v>mfg_bevtob_chg</v>
          </cell>
          <cell r="X1" t="str">
            <v>mfg_printpub</v>
          </cell>
          <cell r="Y1" t="str">
            <v>mfg_printpub_chg</v>
          </cell>
          <cell r="Z1" t="str">
            <v>mfg_misc</v>
          </cell>
          <cell r="AA1" t="str">
            <v>mfg_misc_chg</v>
          </cell>
          <cell r="AB1" t="str">
            <v>af</v>
          </cell>
          <cell r="AC1" t="str">
            <v>af_chg</v>
          </cell>
          <cell r="AD1" t="str">
            <v>af_fisheries</v>
          </cell>
          <cell r="AE1" t="str">
            <v>af_fisheries_chg</v>
          </cell>
          <cell r="AF1" t="str">
            <v>af_livestock</v>
          </cell>
          <cell r="AG1" t="str">
            <v>af_livestock_chg</v>
          </cell>
          <cell r="AH1" t="str">
            <v>af_veghort</v>
          </cell>
          <cell r="AI1" t="str">
            <v>af_veghort_chg</v>
          </cell>
          <cell r="AJ1" t="str">
            <v>tran</v>
          </cell>
          <cell r="AK1" t="str">
            <v>tran_chg</v>
          </cell>
          <cell r="AL1" t="str">
            <v>tran_shipping</v>
          </cell>
          <cell r="AM1" t="str">
            <v>tran_shipping_chg</v>
          </cell>
          <cell r="AN1" t="str">
            <v>tran_airtran</v>
          </cell>
          <cell r="AO1" t="str">
            <v>tran_airtran_chg</v>
          </cell>
          <cell r="AP1" t="str">
            <v>tran_taxisplb</v>
          </cell>
          <cell r="AQ1" t="str">
            <v>tran_taxisplb_chg</v>
          </cell>
          <cell r="AR1" t="str">
            <v>tran_taxisplb_taxis</v>
          </cell>
          <cell r="AS1" t="str">
            <v>tran_taxisplb_taxis_chg</v>
          </cell>
          <cell r="AT1" t="str">
            <v>tran_taxisplb_plb</v>
          </cell>
          <cell r="AU1" t="str">
            <v>tran_taxisplb_plb_chg</v>
          </cell>
          <cell r="AV1" t="str">
            <v>tran_other</v>
          </cell>
          <cell r="AW1" t="str">
            <v>tran_other_chg</v>
          </cell>
          <cell r="AX1" t="str">
            <v>egt</v>
          </cell>
          <cell r="AY1" t="str">
            <v>egt_chg</v>
          </cell>
          <cell r="AZ1" t="str">
            <v>eg</v>
          </cell>
          <cell r="BA1" t="str">
            <v>eg_chg</v>
          </cell>
          <cell r="BB1" t="str">
            <v>rec</v>
          </cell>
          <cell r="BC1" t="str">
            <v>rec_chg</v>
          </cell>
          <cell r="BD1" t="str">
            <v>it</v>
          </cell>
          <cell r="BE1" t="str">
            <v>it_chg</v>
          </cell>
          <cell r="BF1" t="str">
            <v>it_telecom</v>
          </cell>
          <cell r="BG1" t="str">
            <v>it_telecom_chg</v>
          </cell>
          <cell r="BH1" t="str">
            <v>it_other</v>
          </cell>
          <cell r="BI1" t="str">
            <v>it_other_chg</v>
          </cell>
          <cell r="BJ1" t="str">
            <v>bcpi</v>
          </cell>
          <cell r="BK1" t="str">
            <v>bcpi_chg</v>
          </cell>
          <cell r="BL1" t="str">
            <v>bcpi_propdev</v>
          </cell>
          <cell r="BM1" t="str">
            <v>bcpi_propdev_chg</v>
          </cell>
          <cell r="BN1" t="str">
            <v>bcpi_propdev_ind</v>
          </cell>
          <cell r="BO1" t="str">
            <v>bcpi_propdev_ind_chg</v>
          </cell>
          <cell r="BP1" t="str">
            <v>bcpi_propdev_res</v>
          </cell>
          <cell r="BQ1" t="str">
            <v>bcpi_propdev_res_chg</v>
          </cell>
          <cell r="BR1" t="str">
            <v>bcpi_propdev_comm</v>
          </cell>
          <cell r="BS1" t="str">
            <v>bcpi_propdev_comm_chg</v>
          </cell>
          <cell r="BT1" t="str">
            <v>bcpi_propdev_other</v>
          </cell>
          <cell r="BU1" t="str">
            <v>bcpi_propdev_other_chg</v>
          </cell>
          <cell r="BV1" t="str">
            <v>bcpi_other</v>
          </cell>
          <cell r="BW1" t="str">
            <v>bcpi_other_chg</v>
          </cell>
          <cell r="BX1" t="str">
            <v>wsale</v>
          </cell>
          <cell r="BY1" t="str">
            <v>wsale_chg</v>
          </cell>
          <cell r="BZ1" t="str">
            <v>mine</v>
          </cell>
          <cell r="CA1" t="str">
            <v>mine_chg</v>
          </cell>
          <cell r="CB1" t="str">
            <v>misc</v>
          </cell>
          <cell r="CC1" t="str">
            <v>misc_chg</v>
          </cell>
          <cell r="CD1" t="str">
            <v>misc_hotelcater</v>
          </cell>
          <cell r="CE1" t="str">
            <v>misc_hotelcater_chg</v>
          </cell>
          <cell r="CF1" t="str">
            <v>misc_fin</v>
          </cell>
          <cell r="CG1" t="str">
            <v>misc_fin_chg</v>
          </cell>
          <cell r="CH1" t="str">
            <v>misc_fin_inv</v>
          </cell>
          <cell r="CI1" t="str">
            <v>misc_fin_inv_chg</v>
          </cell>
          <cell r="CJ1" t="str">
            <v>misc_fin_ins</v>
          </cell>
          <cell r="CK1" t="str">
            <v>misc_fin_ins_chg</v>
          </cell>
          <cell r="CL1" t="str">
            <v>misc_fin_futbrok</v>
          </cell>
          <cell r="CM1" t="str">
            <v>misc_fin_futbrok_chg</v>
          </cell>
          <cell r="CN1" t="str">
            <v>misc_fin_finother</v>
          </cell>
          <cell r="CO1" t="str">
            <v>misc_fin_finother_chg</v>
          </cell>
          <cell r="CP1" t="str">
            <v>misc_stockbrok</v>
          </cell>
          <cell r="CQ1" t="str">
            <v>misc_stockbrok_chg</v>
          </cell>
          <cell r="CR1" t="str">
            <v>misc_prof</v>
          </cell>
          <cell r="CS1" t="str">
            <v>misc_prof_chg</v>
          </cell>
          <cell r="CT1" t="str">
            <v>misc_prof_purschflat</v>
          </cell>
          <cell r="CU1" t="str">
            <v>misc_prof_purschflat_chg</v>
          </cell>
          <cell r="CV1" t="str">
            <v>misc_prof_purother</v>
          </cell>
          <cell r="CW1" t="str">
            <v>misc_prof_purother_chg</v>
          </cell>
          <cell r="CX1" t="str">
            <v>misc_prof_ccadv</v>
          </cell>
          <cell r="CY1" t="str">
            <v>misc_prof_ccadv_chg</v>
          </cell>
          <cell r="CZ1" t="str">
            <v>misc_prof_otherbusi</v>
          </cell>
          <cell r="DA1" t="str">
            <v>misc_prof_otherbusi_chg</v>
          </cell>
          <cell r="DB1" t="str">
            <v>misc_prof_otherpvt</v>
          </cell>
          <cell r="DC1" t="str">
            <v>misc_prof_otherpvt_chg</v>
          </cell>
          <cell r="DD1" t="str">
            <v>misc_allother</v>
          </cell>
          <cell r="DE1" t="str">
            <v>misc_allother_chg</v>
          </cell>
          <cell r="DF1" t="str">
            <v>loan_inhk</v>
          </cell>
          <cell r="DG1" t="str">
            <v>loan_inhk_chg</v>
          </cell>
        </row>
        <row r="2">
          <cell r="A2" t="str">
            <v>贷款是按用途分类，但不包括贸易融资贷款。</v>
          </cell>
          <cell r="B2" t="str">
            <v>Manugacturing</v>
          </cell>
        </row>
        <row r="2">
          <cell r="D2" t="str">
            <v>Textiles</v>
          </cell>
        </row>
        <row r="2">
          <cell r="F2" t="str">
            <v>Footwear and wearing apparel</v>
          </cell>
        </row>
        <row r="2">
          <cell r="H2" t="str">
            <v>Metal products and engineering</v>
          </cell>
        </row>
        <row r="2">
          <cell r="J2" t="str">
            <v>Rubber, plastic and chemicals</v>
          </cell>
        </row>
        <row r="2">
          <cell r="L2" t="str">
            <v>Shipbuilding and repair 3</v>
          </cell>
        </row>
        <row r="2">
          <cell r="N2" t="str">
            <v>Electrical and electronic4</v>
          </cell>
        </row>
        <row r="2">
          <cell r="P2" t="str">
            <v>Telecommunication equipment</v>
          </cell>
          <cell r="Q2" t="str">
            <v>    電子通訊設備</v>
          </cell>
          <cell r="R2" t="str">
            <v>     Others</v>
          </cell>
          <cell r="S2" t="str">
            <v>    其他</v>
          </cell>
          <cell r="T2" t="str">
            <v>food</v>
          </cell>
          <cell r="U2" t="str">
            <v>食品</v>
          </cell>
          <cell r="V2" t="str">
            <v>Beverages and tobacco</v>
          </cell>
          <cell r="W2" t="str">
            <v>飲料及煙草</v>
          </cell>
          <cell r="X2" t="str">
            <v>Printing and publishing</v>
          </cell>
          <cell r="Y2" t="str">
            <v>印刷及出版</v>
          </cell>
          <cell r="Z2" t="str">
            <v>Miscellaneous</v>
          </cell>
          <cell r="AA2" t="str">
            <v>雜類</v>
          </cell>
          <cell r="AB2" t="str">
            <v>Agriculture and fisheries5,6</v>
          </cell>
          <cell r="AC2" t="str">
            <v>農業及漁業5,6</v>
          </cell>
          <cell r="AD2" t="str">
            <v>Fisheries</v>
          </cell>
          <cell r="AE2" t="str">
            <v>漁業</v>
          </cell>
          <cell r="AF2" t="str">
            <v>Livestock and livestock products</v>
          </cell>
          <cell r="AG2" t="str">
            <v>禽畜及禽畜產品 </v>
          </cell>
          <cell r="AH2" t="str">
            <v>Vegetables and horticulture</v>
          </cell>
          <cell r="AI2" t="str">
            <v>蔬菜及園藝</v>
          </cell>
          <cell r="AJ2" t="str">
            <v>Transport and transport equipment</v>
          </cell>
          <cell r="AK2" t="str">
            <v>運輸及運輸設備 </v>
          </cell>
          <cell r="AL2" t="str">
            <v>Shipping</v>
          </cell>
          <cell r="AM2" t="str">
            <v>航運</v>
          </cell>
          <cell r="AN2" t="str">
            <v>Air transport</v>
          </cell>
          <cell r="AO2" t="str">
            <v>空運</v>
          </cell>
          <cell r="AP2" t="str">
            <v>Taxis and public light buses</v>
          </cell>
          <cell r="AQ2" t="str">
            <v>的士及公共輕型巴士</v>
          </cell>
          <cell r="AR2" t="str">
            <v>     Taxis</v>
          </cell>
          <cell r="AS2" t="str">
            <v>    的士</v>
          </cell>
          <cell r="AT2" t="str">
            <v>     Public light buses</v>
          </cell>
          <cell r="AU2" t="str">
            <v>    公共輕型巴士</v>
          </cell>
          <cell r="AV2" t="str">
            <v>Others</v>
          </cell>
          <cell r="AW2" t="str">
            <v>其他</v>
          </cell>
          <cell r="AX2" t="str">
            <v>Electricity, gas and telecommunications7</v>
          </cell>
          <cell r="AY2" t="str">
            <v>電力、氣體燃料及電訊7</v>
          </cell>
          <cell r="AZ2" t="str">
            <v>Electricity and gas </v>
          </cell>
          <cell r="BA2" t="str">
            <v>電力及氣體燃料</v>
          </cell>
          <cell r="BB2" t="str">
            <v>Recreational activities                 </v>
          </cell>
          <cell r="BC2" t="str">
            <v>康樂活動</v>
          </cell>
          <cell r="BD2" t="str">
            <v>Information technology                  </v>
          </cell>
          <cell r="BE2" t="str">
            <v>資訊科技</v>
          </cell>
          <cell r="BF2" t="str">
            <v>Telecommunications                   </v>
          </cell>
          <cell r="BG2" t="str">
            <v>電子通訊</v>
          </cell>
          <cell r="BH2" t="str">
            <v>Others                               </v>
          </cell>
          <cell r="BI2" t="str">
            <v>其他</v>
          </cell>
          <cell r="BJ2" t="str">
            <v>Building and construction, property development investment</v>
          </cell>
          <cell r="BK2" t="str">
            <v>建築業、物業發展與投資</v>
          </cell>
          <cell r="BL2" t="str">
            <v>Property development and investment</v>
          </cell>
          <cell r="BM2" t="str">
            <v>物業發展及投資</v>
          </cell>
          <cell r="BN2" t="str">
            <v>     Industrial</v>
          </cell>
          <cell r="BO2" t="str">
            <v>    工業</v>
          </cell>
          <cell r="BP2" t="str">
            <v>     Residential</v>
          </cell>
          <cell r="BQ2" t="str">
            <v>    住宅</v>
          </cell>
          <cell r="BR2" t="str">
            <v>     Commercial</v>
          </cell>
          <cell r="BS2" t="str">
            <v>    商業</v>
          </cell>
          <cell r="BT2" t="str">
            <v>     Other properties</v>
          </cell>
          <cell r="BU2" t="str">
            <v>    其他物業</v>
          </cell>
          <cell r="BV2" t="str">
            <v>Others</v>
          </cell>
          <cell r="BW2" t="str">
            <v>其他</v>
          </cell>
          <cell r="BX2" t="str">
            <v>Wholesale and retail trade</v>
          </cell>
          <cell r="BY2" t="str">
            <v>批發及零售業</v>
          </cell>
          <cell r="BZ2" t="str">
            <v>Mining and quarrying6</v>
          </cell>
          <cell r="CA2" t="str">
            <v>採礦及採石業6</v>
          </cell>
          <cell r="CB2" t="str">
            <v>Miscellaneous</v>
          </cell>
          <cell r="CC2" t="str">
            <v>其他經濟行業</v>
          </cell>
          <cell r="CD2" t="str">
            <v>Hotels, boarding houses and catering</v>
          </cell>
          <cell r="CE2" t="str">
            <v>酒店、旅舍及飲食業</v>
          </cell>
          <cell r="CF2" t="str">
            <v>Financial concerns</v>
          </cell>
          <cell r="CG2" t="str">
            <v>與財務及金融有關公司</v>
          </cell>
          <cell r="CH2" t="str">
            <v>     Investment companies</v>
          </cell>
          <cell r="CI2" t="str">
            <v>    投資公司</v>
          </cell>
          <cell r="CJ2" t="str">
            <v>     Insurance companies</v>
          </cell>
          <cell r="CK2" t="str">
            <v>    保險公司</v>
          </cell>
          <cell r="CL2" t="str">
            <v>     Futures brokers</v>
          </cell>
          <cell r="CM2" t="str">
            <v>    期貨買賣商</v>
          </cell>
          <cell r="CN2" t="str">
            <v>     Finance companies and others</v>
          </cell>
          <cell r="CO2" t="str">
            <v>    金融公司及其他</v>
          </cell>
          <cell r="CP2" t="str">
            <v>Stockbrokers</v>
          </cell>
          <cell r="CQ2" t="str">
            <v>證券經紀</v>
          </cell>
          <cell r="CR2" t="str">
            <v>Professional and private individuals</v>
          </cell>
          <cell r="CS2" t="str">
            <v>專業人士及個人</v>
          </cell>
          <cell r="CT2" t="str">
            <v>for the purchase of flats</v>
          </cell>
          <cell r="CU2" t="str">
            <v>購買居屋</v>
          </cell>
          <cell r="CV2" t="str">
            <v>for the purchase of other properties</v>
          </cell>
          <cell r="CW2" t="str">
            <v>    購買其他住宅樓宇</v>
          </cell>
          <cell r="CX2" t="str">
            <v>     For credit card advances</v>
          </cell>
          <cell r="CY2" t="str">
            <v>    信用卡墊款</v>
          </cell>
          <cell r="CZ2" t="str">
            <v>     For other business purposes</v>
          </cell>
          <cell r="DA2" t="str">
            <v>    其他商業用途</v>
          </cell>
          <cell r="DB2" t="str">
            <v>     For other private purposes</v>
          </cell>
          <cell r="DC2" t="str">
            <v>    其他私人用途</v>
          </cell>
          <cell r="DD2" t="str">
            <v>All others</v>
          </cell>
          <cell r="DE2" t="str">
            <v>其他</v>
          </cell>
          <cell r="DF2" t="str">
            <v>Loans and advances for use in Hong Kong</v>
          </cell>
          <cell r="DG2" t="str">
            <v>在香港使用的貸款及墊款</v>
          </cell>
        </row>
        <row r="3">
          <cell r="B3" t="str">
            <v>製造業</v>
          </cell>
          <cell r="C3" t="str">
            <v>与上季度比对的增减百分比</v>
          </cell>
          <cell r="D3" t="str">
            <v>紡織</v>
          </cell>
        </row>
        <row r="3">
          <cell r="F3" t="str">
            <v>鞋類及衣飾</v>
          </cell>
        </row>
        <row r="3">
          <cell r="H3" t="str">
            <v>金屬製品及工程</v>
          </cell>
        </row>
        <row r="3">
          <cell r="J3" t="str">
            <v>橡膠、塑膠及化工</v>
          </cell>
        </row>
        <row r="3">
          <cell r="L3" t="str">
            <v>造船及修理3</v>
          </cell>
        </row>
        <row r="3">
          <cell r="N3" t="str">
            <v>電器及電子4</v>
          </cell>
        </row>
        <row r="4">
          <cell r="A4" t="str">
            <v>2026-06</v>
          </cell>
          <cell r="B4">
            <v>363633.971</v>
          </cell>
          <cell r="C4">
            <v>10.8</v>
          </cell>
          <cell r="D4">
            <v>10607.882</v>
          </cell>
        </row>
        <row r="4">
          <cell r="F4">
            <v>31347.566</v>
          </cell>
        </row>
        <row r="4">
          <cell r="H4">
            <v>45948.115</v>
          </cell>
        </row>
        <row r="4">
          <cell r="J4">
            <v>73129.923</v>
          </cell>
        </row>
        <row r="4">
          <cell r="N4">
            <v>60925.997</v>
          </cell>
        </row>
        <row r="4">
          <cell r="P4">
            <v>9998.647</v>
          </cell>
        </row>
        <row r="4">
          <cell r="R4">
            <v>50927.35</v>
          </cell>
        </row>
        <row r="4">
          <cell r="T4">
            <v>25250.155</v>
          </cell>
        </row>
        <row r="4">
          <cell r="V4">
            <v>17583.24</v>
          </cell>
        </row>
        <row r="4">
          <cell r="X4">
            <v>4559.639</v>
          </cell>
        </row>
        <row r="4">
          <cell r="Z4">
            <v>94281.454</v>
          </cell>
        </row>
        <row r="4">
          <cell r="AJ4">
            <v>331240.648</v>
          </cell>
          <cell r="AK4">
            <v>9.4</v>
          </cell>
          <cell r="AL4">
            <v>105026.27</v>
          </cell>
        </row>
        <row r="4">
          <cell r="AN4">
            <v>45450.289</v>
          </cell>
        </row>
        <row r="4">
          <cell r="AP4">
            <v>51265.854</v>
          </cell>
        </row>
        <row r="4">
          <cell r="AR4">
            <v>43354.876</v>
          </cell>
        </row>
        <row r="4">
          <cell r="AT4">
            <v>7910.978</v>
          </cell>
        </row>
        <row r="4">
          <cell r="AV4">
            <v>129498.235</v>
          </cell>
        </row>
        <row r="4">
          <cell r="AZ4">
            <v>215920.419</v>
          </cell>
        </row>
        <row r="4">
          <cell r="BB4">
            <v>11933.617</v>
          </cell>
        </row>
        <row r="4">
          <cell r="BD4">
            <v>228617.921</v>
          </cell>
        </row>
        <row r="4">
          <cell r="BF4">
            <v>85341.292</v>
          </cell>
        </row>
        <row r="4">
          <cell r="BH4">
            <v>143276.629</v>
          </cell>
        </row>
        <row r="4">
          <cell r="BJ4">
            <v>1385663.033</v>
          </cell>
          <cell r="BK4">
            <v>-1.4</v>
          </cell>
          <cell r="BL4">
            <v>1313893.844</v>
          </cell>
        </row>
        <row r="4">
          <cell r="BN4">
            <v>68879.153</v>
          </cell>
        </row>
        <row r="4">
          <cell r="BP4">
            <v>523266.122</v>
          </cell>
        </row>
        <row r="4">
          <cell r="BR4">
            <v>517893.4</v>
          </cell>
        </row>
        <row r="4">
          <cell r="BT4">
            <v>203855.169</v>
          </cell>
        </row>
        <row r="4">
          <cell r="BV4">
            <v>71769.189</v>
          </cell>
        </row>
        <row r="4">
          <cell r="BX4">
            <v>312060.828</v>
          </cell>
          <cell r="BY4">
            <v>9.7</v>
          </cell>
        </row>
        <row r="4">
          <cell r="CB4">
            <v>4809931.327</v>
          </cell>
        </row>
        <row r="4">
          <cell r="CD4">
            <v>138518.368</v>
          </cell>
        </row>
        <row r="4">
          <cell r="CF4">
            <v>1032728.289</v>
          </cell>
          <cell r="CG4">
            <v>4.9</v>
          </cell>
          <cell r="CH4">
            <v>674173.488</v>
          </cell>
        </row>
        <row r="4">
          <cell r="CJ4">
            <v>40038.929</v>
          </cell>
        </row>
        <row r="4">
          <cell r="CL4">
            <v>2236.778</v>
          </cell>
        </row>
        <row r="4">
          <cell r="CN4">
            <v>316279.094</v>
          </cell>
        </row>
        <row r="4">
          <cell r="CP4">
            <v>99687.109</v>
          </cell>
          <cell r="CQ4">
            <v>15.1</v>
          </cell>
          <cell r="CR4">
            <v>3076518.821</v>
          </cell>
        </row>
        <row r="4">
          <cell r="CT4">
            <v>167615.406</v>
          </cell>
          <cell r="CU4">
            <v>7.1</v>
          </cell>
          <cell r="CV4">
            <v>1958342.695</v>
          </cell>
          <cell r="CW4">
            <v>1.1</v>
          </cell>
          <cell r="CX4">
            <v>148800.062</v>
          </cell>
        </row>
        <row r="4">
          <cell r="CZ4">
            <v>7582.985</v>
          </cell>
        </row>
        <row r="4">
          <cell r="DB4">
            <v>794177.673</v>
          </cell>
        </row>
        <row r="4">
          <cell r="DD4">
            <v>462478.74</v>
          </cell>
        </row>
        <row r="4">
          <cell r="DF4">
            <v>7659001.764</v>
          </cell>
          <cell r="DG4">
            <v>2.9</v>
          </cell>
        </row>
        <row r="5">
          <cell r="A5" t="str">
            <v>2026-03</v>
          </cell>
          <cell r="B5">
            <v>328188.241</v>
          </cell>
          <cell r="C5">
            <v>7</v>
          </cell>
          <cell r="D5">
            <v>10407.843</v>
          </cell>
        </row>
        <row r="5">
          <cell r="F5">
            <v>27516.138</v>
          </cell>
        </row>
        <row r="5">
          <cell r="H5">
            <v>44021.965</v>
          </cell>
        </row>
        <row r="5">
          <cell r="J5">
            <v>63578.479</v>
          </cell>
        </row>
        <row r="5">
          <cell r="N5">
            <v>61296.591</v>
          </cell>
        </row>
        <row r="5">
          <cell r="P5">
            <v>6636.04</v>
          </cell>
        </row>
        <row r="5">
          <cell r="R5">
            <v>54660.551</v>
          </cell>
        </row>
        <row r="5">
          <cell r="T5">
            <v>21536.222</v>
          </cell>
        </row>
        <row r="5">
          <cell r="V5">
            <v>13861.623</v>
          </cell>
        </row>
        <row r="5">
          <cell r="X5">
            <v>4752.796</v>
          </cell>
        </row>
        <row r="5">
          <cell r="Z5">
            <v>81216.584</v>
          </cell>
        </row>
        <row r="5">
          <cell r="AJ5">
            <v>302874.135</v>
          </cell>
          <cell r="AK5">
            <v>6.1</v>
          </cell>
          <cell r="AL5">
            <v>110085.687</v>
          </cell>
        </row>
        <row r="5">
          <cell r="AN5">
            <v>42722.098</v>
          </cell>
        </row>
        <row r="5">
          <cell r="AP5">
            <v>51264.121</v>
          </cell>
        </row>
        <row r="5">
          <cell r="AR5">
            <v>43907.262</v>
          </cell>
        </row>
        <row r="5">
          <cell r="AT5">
            <v>7356.859</v>
          </cell>
        </row>
        <row r="5">
          <cell r="AV5">
            <v>98802.229</v>
          </cell>
        </row>
        <row r="5">
          <cell r="AZ5">
            <v>205053.452</v>
          </cell>
        </row>
        <row r="5">
          <cell r="BB5">
            <v>11139.161</v>
          </cell>
        </row>
        <row r="5">
          <cell r="BD5">
            <v>215874.986</v>
          </cell>
        </row>
        <row r="5">
          <cell r="BF5">
            <v>88620.095</v>
          </cell>
        </row>
        <row r="5">
          <cell r="BH5">
            <v>127254.891</v>
          </cell>
        </row>
        <row r="5">
          <cell r="BJ5">
            <v>1405132.709</v>
          </cell>
          <cell r="BK5">
            <v>-2.3</v>
          </cell>
          <cell r="BL5">
            <v>1339249.189</v>
          </cell>
        </row>
        <row r="5">
          <cell r="BN5">
            <v>70240.539</v>
          </cell>
        </row>
        <row r="5">
          <cell r="BP5">
            <v>532245.948</v>
          </cell>
        </row>
        <row r="5">
          <cell r="BR5">
            <v>528207.436</v>
          </cell>
        </row>
        <row r="5">
          <cell r="BT5">
            <v>208555.266</v>
          </cell>
        </row>
        <row r="5">
          <cell r="BV5">
            <v>65883.52</v>
          </cell>
        </row>
        <row r="5">
          <cell r="BX5">
            <v>284551.075</v>
          </cell>
          <cell r="BY5">
            <v>2</v>
          </cell>
        </row>
        <row r="5">
          <cell r="CB5">
            <v>4687506.916</v>
          </cell>
        </row>
        <row r="5">
          <cell r="CD5">
            <v>139804.429</v>
          </cell>
        </row>
        <row r="5">
          <cell r="CF5">
            <v>984139.371</v>
          </cell>
          <cell r="CG5">
            <v>4.7</v>
          </cell>
          <cell r="CH5">
            <v>632191.773</v>
          </cell>
        </row>
        <row r="5">
          <cell r="CJ5">
            <v>39901.347</v>
          </cell>
        </row>
        <row r="5">
          <cell r="CL5">
            <v>1445.849</v>
          </cell>
        </row>
        <row r="5">
          <cell r="CN5">
            <v>310600.402</v>
          </cell>
        </row>
        <row r="5">
          <cell r="CP5">
            <v>86607.603</v>
          </cell>
          <cell r="CQ5">
            <v>36.5</v>
          </cell>
          <cell r="CR5">
            <v>3001339.74</v>
          </cell>
        </row>
        <row r="5">
          <cell r="CT5">
            <v>156519.886</v>
          </cell>
          <cell r="CU5">
            <v>2.1</v>
          </cell>
          <cell r="CV5">
            <v>1937565.885</v>
          </cell>
          <cell r="CW5">
            <v>0.9</v>
          </cell>
          <cell r="CX5">
            <v>151892.099</v>
          </cell>
        </row>
        <row r="5">
          <cell r="CZ5">
            <v>6885.071</v>
          </cell>
        </row>
        <row r="5">
          <cell r="DB5">
            <v>748476.799</v>
          </cell>
        </row>
        <row r="5">
          <cell r="DD5">
            <v>475615.773</v>
          </cell>
        </row>
        <row r="5">
          <cell r="DF5">
            <v>7440320.675</v>
          </cell>
          <cell r="DG5">
            <v>2.7</v>
          </cell>
        </row>
        <row r="6">
          <cell r="A6" t="str">
            <v>2025-12</v>
          </cell>
          <cell r="B6">
            <v>306596.643</v>
          </cell>
          <cell r="C6">
            <v>-5</v>
          </cell>
          <cell r="D6">
            <v>10579.608</v>
          </cell>
        </row>
        <row r="6">
          <cell r="F6">
            <v>26813.224</v>
          </cell>
        </row>
        <row r="6">
          <cell r="H6">
            <v>39803.767</v>
          </cell>
        </row>
        <row r="6">
          <cell r="J6">
            <v>62683.653</v>
          </cell>
        </row>
        <row r="6">
          <cell r="N6">
            <v>54150.184</v>
          </cell>
        </row>
        <row r="6">
          <cell r="P6">
            <v>6090.297</v>
          </cell>
        </row>
        <row r="6">
          <cell r="R6">
            <v>48059.887</v>
          </cell>
        </row>
        <row r="6">
          <cell r="T6">
            <v>21795.043</v>
          </cell>
        </row>
        <row r="6">
          <cell r="V6">
            <v>10977.891</v>
          </cell>
        </row>
        <row r="6">
          <cell r="X6">
            <v>4592.36</v>
          </cell>
        </row>
        <row r="6">
          <cell r="Z6">
            <v>75200.913</v>
          </cell>
        </row>
        <row r="6">
          <cell r="AJ6">
            <v>285580.505</v>
          </cell>
          <cell r="AK6">
            <v>1.3</v>
          </cell>
          <cell r="AL6">
            <v>100947.032</v>
          </cell>
        </row>
        <row r="6">
          <cell r="AN6">
            <v>34495.647</v>
          </cell>
        </row>
        <row r="6">
          <cell r="AP6">
            <v>52015.664</v>
          </cell>
        </row>
        <row r="6">
          <cell r="AR6">
            <v>44497.902</v>
          </cell>
        </row>
        <row r="6">
          <cell r="AT6">
            <v>7517.762</v>
          </cell>
        </row>
        <row r="6">
          <cell r="AV6">
            <v>98122.162</v>
          </cell>
        </row>
        <row r="6">
          <cell r="AZ6">
            <v>194690.003</v>
          </cell>
        </row>
        <row r="6">
          <cell r="BB6">
            <v>12926.27</v>
          </cell>
        </row>
        <row r="6">
          <cell r="BD6">
            <v>203059.652</v>
          </cell>
        </row>
        <row r="6">
          <cell r="BF6">
            <v>78288.138</v>
          </cell>
        </row>
        <row r="6">
          <cell r="BH6">
            <v>124771.514</v>
          </cell>
        </row>
        <row r="6">
          <cell r="BJ6">
            <v>1437648.757</v>
          </cell>
          <cell r="BK6">
            <v>-1.5</v>
          </cell>
          <cell r="BL6">
            <v>1372331.133</v>
          </cell>
        </row>
        <row r="6">
          <cell r="BN6">
            <v>71745.791</v>
          </cell>
        </row>
        <row r="6">
          <cell r="BP6">
            <v>548460.044</v>
          </cell>
        </row>
        <row r="6">
          <cell r="BR6">
            <v>539089.664</v>
          </cell>
        </row>
        <row r="6">
          <cell r="BT6">
            <v>213035.634</v>
          </cell>
        </row>
        <row r="6">
          <cell r="BV6">
            <v>65317.624</v>
          </cell>
        </row>
        <row r="6">
          <cell r="BX6">
            <v>278886.353</v>
          </cell>
          <cell r="BY6">
            <v>-1.3</v>
          </cell>
        </row>
        <row r="6">
          <cell r="CB6">
            <v>4525136.677</v>
          </cell>
        </row>
        <row r="6">
          <cell r="CD6">
            <v>131413.745</v>
          </cell>
        </row>
        <row r="6">
          <cell r="CF6">
            <v>940367.197</v>
          </cell>
          <cell r="CG6">
            <v>0.2</v>
          </cell>
          <cell r="CH6">
            <v>602510.589</v>
          </cell>
        </row>
        <row r="6">
          <cell r="CJ6">
            <v>37284.217</v>
          </cell>
        </row>
        <row r="6">
          <cell r="CL6">
            <v>2160.781</v>
          </cell>
        </row>
        <row r="6">
          <cell r="CN6">
            <v>298411.61</v>
          </cell>
        </row>
        <row r="6">
          <cell r="CP6">
            <v>63461.214</v>
          </cell>
          <cell r="CQ6">
            <v>-0.1</v>
          </cell>
          <cell r="CR6">
            <v>2922795.223</v>
          </cell>
        </row>
        <row r="6">
          <cell r="CT6">
            <v>153280.41</v>
          </cell>
          <cell r="CU6">
            <v>0.7</v>
          </cell>
          <cell r="CV6">
            <v>1920476.489</v>
          </cell>
          <cell r="CW6">
            <v>1.4</v>
          </cell>
          <cell r="CX6">
            <v>157738.367</v>
          </cell>
        </row>
        <row r="6">
          <cell r="CZ6">
            <v>5630.61</v>
          </cell>
        </row>
        <row r="6">
          <cell r="DB6">
            <v>685669.347</v>
          </cell>
        </row>
        <row r="6">
          <cell r="DD6">
            <v>467099.298</v>
          </cell>
        </row>
        <row r="6">
          <cell r="DF6">
            <v>7244524.86</v>
          </cell>
          <cell r="DG6">
            <v>0</v>
          </cell>
        </row>
        <row r="7">
          <cell r="A7" t="str">
            <v>2025-09</v>
          </cell>
          <cell r="B7">
            <v>322774.747</v>
          </cell>
          <cell r="C7">
            <v>-0.6</v>
          </cell>
          <cell r="D7">
            <v>10888.719</v>
          </cell>
        </row>
        <row r="7">
          <cell r="F7">
            <v>27397.964</v>
          </cell>
        </row>
        <row r="7">
          <cell r="H7">
            <v>43053.556</v>
          </cell>
        </row>
        <row r="7">
          <cell r="J7">
            <v>72133.026</v>
          </cell>
        </row>
        <row r="7">
          <cell r="N7">
            <v>49492.873</v>
          </cell>
        </row>
        <row r="7">
          <cell r="P7">
            <v>5069.957</v>
          </cell>
        </row>
        <row r="7">
          <cell r="R7">
            <v>44422.916</v>
          </cell>
        </row>
        <row r="7">
          <cell r="T7">
            <v>26661.418</v>
          </cell>
        </row>
        <row r="7">
          <cell r="V7">
            <v>14172.343</v>
          </cell>
        </row>
        <row r="7">
          <cell r="X7">
            <v>4926.074</v>
          </cell>
        </row>
        <row r="7">
          <cell r="Z7">
            <v>74048.774</v>
          </cell>
        </row>
        <row r="7">
          <cell r="AJ7">
            <v>282034.28</v>
          </cell>
          <cell r="AK7">
            <v>-0.7</v>
          </cell>
          <cell r="AL7">
            <v>101675.291</v>
          </cell>
        </row>
        <row r="7">
          <cell r="AN7">
            <v>30209.397</v>
          </cell>
        </row>
        <row r="7">
          <cell r="AP7">
            <v>52786.394</v>
          </cell>
        </row>
        <row r="7">
          <cell r="AR7">
            <v>45031.026</v>
          </cell>
        </row>
        <row r="7">
          <cell r="AT7">
            <v>7755.368</v>
          </cell>
        </row>
        <row r="7">
          <cell r="AV7">
            <v>97363.198</v>
          </cell>
        </row>
        <row r="7">
          <cell r="AZ7">
            <v>213416.254</v>
          </cell>
        </row>
        <row r="7">
          <cell r="BB7">
            <v>12032.436</v>
          </cell>
        </row>
        <row r="7">
          <cell r="BD7">
            <v>197962.547</v>
          </cell>
        </row>
        <row r="7">
          <cell r="BF7">
            <v>83789.733</v>
          </cell>
        </row>
        <row r="7">
          <cell r="BH7">
            <v>114172.814</v>
          </cell>
        </row>
        <row r="7">
          <cell r="BJ7">
            <v>1458963.959</v>
          </cell>
          <cell r="BK7">
            <v>-3.2</v>
          </cell>
          <cell r="BL7">
            <v>1388210.989</v>
          </cell>
        </row>
        <row r="7">
          <cell r="BN7">
            <v>71564.501</v>
          </cell>
        </row>
        <row r="7">
          <cell r="BP7">
            <v>568713.389</v>
          </cell>
        </row>
        <row r="7">
          <cell r="BR7">
            <v>536222.496</v>
          </cell>
        </row>
        <row r="7">
          <cell r="BT7">
            <v>211710.603</v>
          </cell>
        </row>
        <row r="7">
          <cell r="BV7">
            <v>70752.97</v>
          </cell>
        </row>
        <row r="7">
          <cell r="BX7">
            <v>282430.925</v>
          </cell>
          <cell r="BY7">
            <v>-3.8</v>
          </cell>
        </row>
        <row r="7">
          <cell r="CB7">
            <v>4473885.306</v>
          </cell>
        </row>
        <row r="7">
          <cell r="CD7">
            <v>134852.388</v>
          </cell>
        </row>
        <row r="7">
          <cell r="CF7">
            <v>938125.018</v>
          </cell>
          <cell r="CG7">
            <v>3</v>
          </cell>
          <cell r="CH7">
            <v>594053.387</v>
          </cell>
        </row>
        <row r="7">
          <cell r="CJ7">
            <v>38001.532</v>
          </cell>
        </row>
        <row r="7">
          <cell r="CL7">
            <v>2308.27</v>
          </cell>
        </row>
        <row r="7">
          <cell r="CN7">
            <v>303761.829</v>
          </cell>
        </row>
        <row r="7">
          <cell r="CP7">
            <v>63510.261</v>
          </cell>
          <cell r="CQ7">
            <v>0.4</v>
          </cell>
          <cell r="CR7">
            <v>2879906.113</v>
          </cell>
        </row>
        <row r="7">
          <cell r="CT7">
            <v>152236.385</v>
          </cell>
          <cell r="CU7">
            <v>7.3</v>
          </cell>
          <cell r="CV7">
            <v>1894346.998</v>
          </cell>
          <cell r="CW7">
            <v>0.3</v>
          </cell>
          <cell r="CX7">
            <v>145656.063</v>
          </cell>
        </row>
        <row r="7">
          <cell r="CZ7">
            <v>5576.78</v>
          </cell>
        </row>
        <row r="7">
          <cell r="DB7">
            <v>682089.887</v>
          </cell>
        </row>
        <row r="7">
          <cell r="DD7">
            <v>457491.526</v>
          </cell>
        </row>
        <row r="7">
          <cell r="DF7">
            <v>7243500.454</v>
          </cell>
          <cell r="DG7">
            <v>-0.4</v>
          </cell>
        </row>
        <row r="8">
          <cell r="A8" t="str">
            <v>2025-06</v>
          </cell>
          <cell r="B8">
            <v>324870.771</v>
          </cell>
          <cell r="C8">
            <v>4.8</v>
          </cell>
          <cell r="D8">
            <v>10105.352</v>
          </cell>
        </row>
        <row r="8">
          <cell r="F8">
            <v>27564.337</v>
          </cell>
        </row>
        <row r="8">
          <cell r="H8">
            <v>43381.244</v>
          </cell>
        </row>
        <row r="8">
          <cell r="J8">
            <v>64991.74</v>
          </cell>
        </row>
        <row r="8">
          <cell r="N8">
            <v>51873.188</v>
          </cell>
        </row>
        <row r="8">
          <cell r="P8">
            <v>5434.78</v>
          </cell>
        </row>
        <row r="8">
          <cell r="R8">
            <v>46438.408</v>
          </cell>
        </row>
        <row r="8">
          <cell r="T8">
            <v>26633.559</v>
          </cell>
        </row>
        <row r="8">
          <cell r="V8">
            <v>12774.037</v>
          </cell>
        </row>
        <row r="8">
          <cell r="X8">
            <v>4869.311</v>
          </cell>
        </row>
        <row r="8">
          <cell r="Z8">
            <v>82678.003</v>
          </cell>
        </row>
        <row r="8">
          <cell r="AJ8">
            <v>283977.699</v>
          </cell>
          <cell r="AK8">
            <v>-4.6</v>
          </cell>
          <cell r="AL8">
            <v>91728.232</v>
          </cell>
        </row>
        <row r="8">
          <cell r="AN8">
            <v>37844.359</v>
          </cell>
        </row>
        <row r="8">
          <cell r="AP8">
            <v>53651.024</v>
          </cell>
        </row>
        <row r="8">
          <cell r="AR8">
            <v>45553.542</v>
          </cell>
        </row>
        <row r="8">
          <cell r="AT8">
            <v>8097.482</v>
          </cell>
        </row>
        <row r="8">
          <cell r="AV8">
            <v>100754.084</v>
          </cell>
        </row>
        <row r="8">
          <cell r="AZ8">
            <v>215013.888</v>
          </cell>
        </row>
        <row r="8">
          <cell r="BB8">
            <v>12206.375</v>
          </cell>
        </row>
        <row r="8">
          <cell r="BD8">
            <v>202849.75</v>
          </cell>
        </row>
        <row r="8">
          <cell r="BF8">
            <v>79662.793</v>
          </cell>
        </row>
        <row r="8">
          <cell r="BH8">
            <v>123186.957</v>
          </cell>
        </row>
        <row r="8">
          <cell r="BJ8">
            <v>1507238.405</v>
          </cell>
          <cell r="BK8">
            <v>-0.2</v>
          </cell>
          <cell r="BL8">
            <v>1445796.326</v>
          </cell>
        </row>
        <row r="8">
          <cell r="BN8">
            <v>71888.765</v>
          </cell>
        </row>
        <row r="8">
          <cell r="BP8">
            <v>602360.451</v>
          </cell>
        </row>
        <row r="8">
          <cell r="BR8">
            <v>550029.988</v>
          </cell>
        </row>
        <row r="8">
          <cell r="BT8">
            <v>221517.122</v>
          </cell>
        </row>
        <row r="8">
          <cell r="BV8">
            <v>61442.079</v>
          </cell>
        </row>
        <row r="8">
          <cell r="BX8">
            <v>293650.494</v>
          </cell>
          <cell r="BY8">
            <v>2.5</v>
          </cell>
        </row>
        <row r="8">
          <cell r="CB8">
            <v>4434070.18</v>
          </cell>
        </row>
        <row r="8">
          <cell r="CD8">
            <v>137518.278</v>
          </cell>
        </row>
        <row r="8">
          <cell r="CF8">
            <v>910454.89</v>
          </cell>
          <cell r="CG8">
            <v>3.8</v>
          </cell>
          <cell r="CH8">
            <v>563542.474</v>
          </cell>
        </row>
        <row r="8">
          <cell r="CJ8">
            <v>41933.241</v>
          </cell>
        </row>
        <row r="8">
          <cell r="CL8">
            <v>104.891</v>
          </cell>
        </row>
        <row r="8">
          <cell r="CN8">
            <v>304874.284</v>
          </cell>
        </row>
        <row r="8">
          <cell r="CP8">
            <v>63239.895</v>
          </cell>
          <cell r="CQ8">
            <v>16.3</v>
          </cell>
          <cell r="CR8">
            <v>2845525.356</v>
          </cell>
        </row>
        <row r="8">
          <cell r="CT8">
            <v>141918.078</v>
          </cell>
          <cell r="CU8">
            <v>2.8</v>
          </cell>
          <cell r="CV8">
            <v>1889329.495</v>
          </cell>
          <cell r="CW8">
            <v>0.5</v>
          </cell>
          <cell r="CX8">
            <v>143687.936</v>
          </cell>
        </row>
        <row r="8">
          <cell r="CZ8">
            <v>5638.183</v>
          </cell>
        </row>
        <row r="8">
          <cell r="DB8">
            <v>664951.664</v>
          </cell>
        </row>
        <row r="8">
          <cell r="DD8">
            <v>477331.761</v>
          </cell>
        </row>
        <row r="8">
          <cell r="DF8">
            <v>7273877.562</v>
          </cell>
          <cell r="DG8">
            <v>1.5</v>
          </cell>
        </row>
        <row r="9">
          <cell r="A9" t="str">
            <v>2025-03</v>
          </cell>
          <cell r="B9">
            <v>310084.314</v>
          </cell>
          <cell r="C9">
            <v>5.1</v>
          </cell>
          <cell r="D9">
            <v>11400.696</v>
          </cell>
        </row>
        <row r="9">
          <cell r="F9">
            <v>23510.864</v>
          </cell>
        </row>
        <row r="9">
          <cell r="H9">
            <v>38669.503</v>
          </cell>
        </row>
        <row r="9">
          <cell r="J9">
            <v>58615.268</v>
          </cell>
        </row>
        <row r="9">
          <cell r="N9">
            <v>52345.671</v>
          </cell>
        </row>
        <row r="9">
          <cell r="P9">
            <v>5375.815</v>
          </cell>
        </row>
        <row r="9">
          <cell r="R9">
            <v>46969.856</v>
          </cell>
        </row>
        <row r="9">
          <cell r="T9">
            <v>27284.712</v>
          </cell>
        </row>
        <row r="9">
          <cell r="V9">
            <v>12755.422</v>
          </cell>
        </row>
        <row r="9">
          <cell r="X9">
            <v>4843.162</v>
          </cell>
        </row>
        <row r="9">
          <cell r="Z9">
            <v>80659.016</v>
          </cell>
        </row>
        <row r="9">
          <cell r="AJ9">
            <v>297595.199</v>
          </cell>
          <cell r="AK9">
            <v>1.3</v>
          </cell>
          <cell r="AL9">
            <v>86832.722</v>
          </cell>
        </row>
        <row r="9">
          <cell r="AN9">
            <v>49180.488</v>
          </cell>
        </row>
        <row r="9">
          <cell r="AP9">
            <v>54231.535</v>
          </cell>
        </row>
        <row r="9">
          <cell r="AR9">
            <v>45988.494</v>
          </cell>
        </row>
        <row r="9">
          <cell r="AT9">
            <v>8243.041</v>
          </cell>
        </row>
        <row r="9">
          <cell r="AV9">
            <v>107350.454</v>
          </cell>
        </row>
        <row r="9">
          <cell r="AZ9">
            <v>184154.223</v>
          </cell>
        </row>
        <row r="9">
          <cell r="BB9">
            <v>10682.11</v>
          </cell>
        </row>
        <row r="9">
          <cell r="BD9">
            <v>201060.377</v>
          </cell>
        </row>
        <row r="9">
          <cell r="BF9">
            <v>68338.829</v>
          </cell>
        </row>
        <row r="9">
          <cell r="BH9">
            <v>132721.548</v>
          </cell>
        </row>
        <row r="9">
          <cell r="BJ9">
            <v>1509798.757</v>
          </cell>
          <cell r="BK9">
            <v>-2.7</v>
          </cell>
          <cell r="BL9">
            <v>1446113.92</v>
          </cell>
        </row>
        <row r="9">
          <cell r="BN9">
            <v>71552.436</v>
          </cell>
        </row>
        <row r="9">
          <cell r="BP9">
            <v>620775.782</v>
          </cell>
        </row>
        <row r="9">
          <cell r="BR9">
            <v>547986.927</v>
          </cell>
        </row>
        <row r="9">
          <cell r="BT9">
            <v>205798.775</v>
          </cell>
        </row>
        <row r="9">
          <cell r="BV9">
            <v>63684.837</v>
          </cell>
        </row>
        <row r="9">
          <cell r="BX9">
            <v>286619.036</v>
          </cell>
          <cell r="BY9">
            <v>-2.1</v>
          </cell>
        </row>
        <row r="9">
          <cell r="CB9">
            <v>4364146.521</v>
          </cell>
        </row>
        <row r="9">
          <cell r="CD9">
            <v>142179.542</v>
          </cell>
        </row>
        <row r="9">
          <cell r="CF9">
            <v>877063.119</v>
          </cell>
          <cell r="CG9">
            <v>4.4</v>
          </cell>
          <cell r="CH9">
            <v>546405.516</v>
          </cell>
        </row>
        <row r="9">
          <cell r="CJ9">
            <v>40406.9</v>
          </cell>
        </row>
        <row r="9">
          <cell r="CL9">
            <v>1416.625</v>
          </cell>
        </row>
        <row r="9">
          <cell r="CN9">
            <v>288834.078</v>
          </cell>
        </row>
        <row r="9">
          <cell r="CP9">
            <v>54380.557</v>
          </cell>
          <cell r="CQ9">
            <v>10.6</v>
          </cell>
          <cell r="CR9">
            <v>2815936.107</v>
          </cell>
        </row>
        <row r="9">
          <cell r="CT9">
            <v>138077.253</v>
          </cell>
          <cell r="CU9">
            <v>4</v>
          </cell>
          <cell r="CV9">
            <v>1880587.64</v>
          </cell>
          <cell r="CW9">
            <v>0.4</v>
          </cell>
          <cell r="CX9">
            <v>146279.678</v>
          </cell>
        </row>
        <row r="9">
          <cell r="CZ9">
            <v>5624.51</v>
          </cell>
        </row>
        <row r="9">
          <cell r="DB9">
            <v>645367.026</v>
          </cell>
        </row>
        <row r="9">
          <cell r="DD9">
            <v>474587.196</v>
          </cell>
        </row>
        <row r="9">
          <cell r="DF9">
            <v>7164140.537</v>
          </cell>
          <cell r="DG9">
            <v>0.8</v>
          </cell>
        </row>
        <row r="10">
          <cell r="A10" t="str">
            <v>2024-12</v>
          </cell>
          <cell r="B10">
            <v>295132.542</v>
          </cell>
          <cell r="C10">
            <v>-0.9</v>
          </cell>
          <cell r="D10">
            <v>12543.956</v>
          </cell>
        </row>
        <row r="10">
          <cell r="F10">
            <v>21597.563</v>
          </cell>
        </row>
        <row r="10">
          <cell r="H10">
            <v>37385.872</v>
          </cell>
        </row>
        <row r="10">
          <cell r="J10">
            <v>57264.194</v>
          </cell>
        </row>
        <row r="10">
          <cell r="N10">
            <v>52623.241</v>
          </cell>
        </row>
        <row r="10">
          <cell r="P10">
            <v>6571.414</v>
          </cell>
        </row>
        <row r="10">
          <cell r="R10">
            <v>46051.827</v>
          </cell>
        </row>
        <row r="10">
          <cell r="T10">
            <v>23465.175</v>
          </cell>
        </row>
        <row r="10">
          <cell r="V10">
            <v>13452.56</v>
          </cell>
        </row>
        <row r="10">
          <cell r="X10">
            <v>4312.302</v>
          </cell>
        </row>
        <row r="10">
          <cell r="Z10">
            <v>72487.679</v>
          </cell>
        </row>
        <row r="10">
          <cell r="AJ10">
            <v>293659.304</v>
          </cell>
          <cell r="AK10">
            <v>4.8</v>
          </cell>
          <cell r="AL10">
            <v>83948.318</v>
          </cell>
        </row>
        <row r="10">
          <cell r="AN10">
            <v>55624.595</v>
          </cell>
        </row>
        <row r="10">
          <cell r="AP10">
            <v>55063.993</v>
          </cell>
        </row>
        <row r="10">
          <cell r="AR10">
            <v>46295.807</v>
          </cell>
        </row>
        <row r="10">
          <cell r="AT10">
            <v>8768.186</v>
          </cell>
        </row>
        <row r="10">
          <cell r="AV10">
            <v>99022.398</v>
          </cell>
        </row>
        <row r="10">
          <cell r="AZ10">
            <v>190847.019</v>
          </cell>
        </row>
        <row r="10">
          <cell r="BB10">
            <v>8431.267</v>
          </cell>
        </row>
        <row r="10">
          <cell r="BD10">
            <v>183124.301</v>
          </cell>
        </row>
        <row r="10">
          <cell r="BF10">
            <v>65267.46</v>
          </cell>
        </row>
        <row r="10">
          <cell r="BH10">
            <v>117856.841</v>
          </cell>
        </row>
        <row r="10">
          <cell r="BJ10">
            <v>1552482.093</v>
          </cell>
          <cell r="BK10">
            <v>-1.1</v>
          </cell>
          <cell r="BL10">
            <v>1488357.512</v>
          </cell>
        </row>
        <row r="10">
          <cell r="BN10">
            <v>73944.409</v>
          </cell>
        </row>
        <row r="10">
          <cell r="BP10">
            <v>633676.851</v>
          </cell>
        </row>
        <row r="10">
          <cell r="BR10">
            <v>560687.672</v>
          </cell>
        </row>
        <row r="10">
          <cell r="BT10">
            <v>220048.58</v>
          </cell>
        </row>
        <row r="10">
          <cell r="BV10">
            <v>64124.581</v>
          </cell>
        </row>
        <row r="10">
          <cell r="BX10">
            <v>292621.661</v>
          </cell>
          <cell r="BY10">
            <v>-1.5</v>
          </cell>
        </row>
        <row r="10">
          <cell r="CB10">
            <v>4292441.151</v>
          </cell>
        </row>
        <row r="10">
          <cell r="CD10">
            <v>132742.938</v>
          </cell>
        </row>
        <row r="10">
          <cell r="CF10">
            <v>840262.485</v>
          </cell>
          <cell r="CG10">
            <v>1.8</v>
          </cell>
          <cell r="CH10">
            <v>510769.509</v>
          </cell>
        </row>
        <row r="10">
          <cell r="CJ10">
            <v>36242.792</v>
          </cell>
        </row>
        <row r="10">
          <cell r="CL10">
            <v>282.178</v>
          </cell>
        </row>
        <row r="10">
          <cell r="CN10">
            <v>292968.006</v>
          </cell>
        </row>
        <row r="10">
          <cell r="CP10">
            <v>49168.879</v>
          </cell>
          <cell r="CQ10">
            <v>-23.1</v>
          </cell>
          <cell r="CR10">
            <v>2795671.762</v>
          </cell>
        </row>
        <row r="10">
          <cell r="CT10">
            <v>132720.032</v>
          </cell>
          <cell r="CU10">
            <v>0.8</v>
          </cell>
          <cell r="CV10">
            <v>1873532.467</v>
          </cell>
          <cell r="CW10">
            <v>-0.1</v>
          </cell>
          <cell r="CX10">
            <v>154585.216</v>
          </cell>
        </row>
        <row r="10">
          <cell r="CZ10">
            <v>5403.246</v>
          </cell>
        </row>
        <row r="10">
          <cell r="DB10">
            <v>629430.801</v>
          </cell>
        </row>
        <row r="10">
          <cell r="DD10">
            <v>474595.087</v>
          </cell>
        </row>
        <row r="10">
          <cell r="DF10">
            <v>7108739.338</v>
          </cell>
          <cell r="DG10">
            <v>-0.2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pidocs.hkma.gov.hk/apidata/?api=market-data-and-statistics.monthly-statistical-bulletin.banking.loans-by-sector-ais" TargetMode="External"/><Relationship Id="rId2" Type="http://schemas.openxmlformats.org/officeDocument/2006/relationships/hyperlink" Target="https://apidocs.hkma.gov.hk/documentation/market-data-and-statistics/monthly-statistical-bulletin/banking/loans-by-type/" TargetMode="External"/><Relationship Id="rId1" Type="http://schemas.openxmlformats.org/officeDocument/2006/relationships/hyperlink" Target="https://apidocs.hkma.gov.hk/apidata/?api=market-data-and-statistics.monthly-statistical-bulletin.financial.banking-statistics&amp;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3A4B"/>
    <pageSetUpPr fitToPage="1"/>
  </sheetPr>
  <dimension ref="A1:F29"/>
  <sheetViews>
    <sheetView showGridLines="0" workbookViewId="0">
      <pane ySplit="7" topLeftCell="A8" activePane="bottomLeft" state="frozen"/>
      <selection/>
      <selection pane="bottomLeft" activeCell="A1" sqref="A1"/>
    </sheetView>
  </sheetViews>
  <sheetFormatPr defaultColWidth="9" defaultRowHeight="16.8" outlineLevelCol="5"/>
  <cols>
    <col min="1" max="1" width="8" customWidth="1"/>
    <col min="2" max="2" width="28" customWidth="1"/>
    <col min="3" max="3" width="42" customWidth="1"/>
    <col min="4" max="4" width="56" customWidth="1"/>
    <col min="5" max="5" width="22" customWidth="1"/>
    <col min="6" max="6" width="18" customWidth="1"/>
  </cols>
  <sheetData>
    <row r="1" ht="22" customHeight="1"/>
    <row r="2" ht="26" spans="1:6">
      <c r="B2" s="81" t="s">
        <v>0</v>
      </c>
    </row>
    <row r="3" spans="1:6">
      <c r="B3" s="127" t="s">
        <v>1</v>
      </c>
    </row>
    <row r="4" spans="1:6">
      <c r="B4" s="71" t="s">
        <v>2</v>
      </c>
    </row>
    <row r="7" spans="1:6">
      <c r="A7" s="72" t="s">
        <v>3</v>
      </c>
      <c r="B7" s="72" t="s">
        <v>4</v>
      </c>
      <c r="C7" s="72" t="s">
        <v>5</v>
      </c>
      <c r="D7" s="72" t="s">
        <v>6</v>
      </c>
      <c r="E7" s="72" t="s">
        <v>7</v>
      </c>
      <c r="F7" s="72" t="s">
        <v>8</v>
      </c>
    </row>
    <row r="8" ht="31" spans="1:6">
      <c r="A8" s="82">
        <v>1</v>
      </c>
      <c r="B8" s="83" t="s">
        <v>9</v>
      </c>
      <c r="C8" s="83" t="s">
        <v>10</v>
      </c>
      <c r="D8" s="83" t="s">
        <v>11</v>
      </c>
      <c r="E8" s="83" t="s">
        <v>12</v>
      </c>
      <c r="F8" s="83" t="s">
        <v>13</v>
      </c>
    </row>
    <row r="9" ht="31" spans="1:6">
      <c r="A9" s="85">
        <v>2</v>
      </c>
      <c r="B9" s="86" t="s">
        <v>14</v>
      </c>
      <c r="C9" s="86" t="s">
        <v>15</v>
      </c>
      <c r="D9" s="86" t="s">
        <v>16</v>
      </c>
      <c r="E9" s="86" t="s">
        <v>17</v>
      </c>
      <c r="F9" s="86" t="s">
        <v>18</v>
      </c>
    </row>
    <row r="10" ht="31" spans="1:6">
      <c r="A10" s="82">
        <v>3</v>
      </c>
      <c r="B10" s="83" t="s">
        <v>19</v>
      </c>
      <c r="C10" s="83" t="s">
        <v>20</v>
      </c>
      <c r="D10" s="83" t="s">
        <v>21</v>
      </c>
      <c r="E10" s="83" t="s">
        <v>22</v>
      </c>
      <c r="F10" s="83" t="s">
        <v>23</v>
      </c>
    </row>
    <row r="11" ht="31" spans="1:6">
      <c r="A11" s="85">
        <v>4</v>
      </c>
      <c r="B11" s="86" t="s">
        <v>24</v>
      </c>
      <c r="C11" s="86" t="s">
        <v>25</v>
      </c>
      <c r="D11" s="86" t="s">
        <v>26</v>
      </c>
      <c r="E11" s="86" t="s">
        <v>27</v>
      </c>
      <c r="F11" s="86" t="s">
        <v>28</v>
      </c>
    </row>
    <row r="12" ht="31" spans="1:6">
      <c r="A12" s="82">
        <v>5</v>
      </c>
      <c r="B12" s="83" t="s">
        <v>29</v>
      </c>
      <c r="C12" s="83" t="s">
        <v>30</v>
      </c>
      <c r="D12" s="83" t="s">
        <v>31</v>
      </c>
      <c r="E12" s="83" t="s">
        <v>32</v>
      </c>
      <c r="F12" s="83" t="s">
        <v>33</v>
      </c>
    </row>
    <row r="13" ht="31" spans="1:6">
      <c r="A13" s="85">
        <v>6</v>
      </c>
      <c r="B13" s="86" t="s">
        <v>34</v>
      </c>
      <c r="C13" s="86" t="s">
        <v>35</v>
      </c>
      <c r="D13" s="86" t="s">
        <v>36</v>
      </c>
      <c r="E13" s="86" t="s">
        <v>37</v>
      </c>
      <c r="F13" s="86" t="s">
        <v>38</v>
      </c>
    </row>
    <row r="14" ht="31" spans="1:6">
      <c r="A14" s="82">
        <v>7</v>
      </c>
      <c r="B14" s="83" t="s">
        <v>39</v>
      </c>
      <c r="C14" s="83" t="s">
        <v>40</v>
      </c>
      <c r="D14" s="83" t="s">
        <v>41</v>
      </c>
      <c r="E14" s="83" t="s">
        <v>42</v>
      </c>
      <c r="F14" s="83" t="s">
        <v>43</v>
      </c>
    </row>
    <row r="16" ht="17.6" spans="1:6">
      <c r="B16" s="128" t="s">
        <v>44</v>
      </c>
    </row>
    <row r="17" spans="1:4">
      <c r="A17" s="72"/>
      <c r="B17" s="72" t="s">
        <v>3</v>
      </c>
      <c r="C17" s="72" t="s">
        <v>45</v>
      </c>
      <c r="D17" t="s">
        <v>46</v>
      </c>
    </row>
    <row r="18" ht="31" spans="1:4">
      <c r="B18" s="107" t="s">
        <v>47</v>
      </c>
      <c r="C18" s="83" t="s">
        <v>48</v>
      </c>
      <c r="D18" s="108"/>
    </row>
    <row r="19" ht="31" spans="1:4">
      <c r="B19" s="100" t="s">
        <v>49</v>
      </c>
      <c r="C19" s="86" t="s">
        <v>50</v>
      </c>
      <c r="D19" s="112"/>
    </row>
    <row r="20" ht="31" spans="1:4">
      <c r="B20" s="107" t="s">
        <v>51</v>
      </c>
      <c r="C20" s="83" t="s">
        <v>52</v>
      </c>
      <c r="D20" s="108"/>
    </row>
    <row r="21" ht="46" spans="1:4">
      <c r="B21" s="100" t="s">
        <v>53</v>
      </c>
      <c r="C21" s="86" t="s">
        <v>54</v>
      </c>
      <c r="D21" s="112"/>
    </row>
    <row r="22" ht="31" spans="1:4">
      <c r="B22" s="107" t="s">
        <v>55</v>
      </c>
      <c r="C22" s="83" t="s">
        <v>56</v>
      </c>
      <c r="D22" s="108"/>
    </row>
    <row r="23" ht="46" spans="1:4">
      <c r="B23" s="100" t="s">
        <v>57</v>
      </c>
      <c r="C23" s="86" t="s">
        <v>58</v>
      </c>
      <c r="D23" s="112"/>
    </row>
    <row r="24" ht="31" spans="1:4">
      <c r="B24" s="107" t="s">
        <v>59</v>
      </c>
      <c r="C24" s="83" t="s">
        <v>60</v>
      </c>
      <c r="D24" s="108"/>
    </row>
    <row r="25" ht="31" spans="1:4">
      <c r="B25" s="100" t="s">
        <v>61</v>
      </c>
      <c r="C25" s="86" t="s">
        <v>62</v>
      </c>
      <c r="D25" s="112"/>
    </row>
    <row r="27" spans="1:4">
      <c r="B27" s="71" t="s">
        <v>63</v>
      </c>
    </row>
  </sheetData>
  <mergeCells count="5">
    <mergeCell ref="B2:E2"/>
    <mergeCell ref="B3:E3"/>
    <mergeCell ref="B4:E4"/>
    <mergeCell ref="B16:E16"/>
    <mergeCell ref="B27:E29"/>
  </mergeCells>
  <pageMargins left="0.75" right="0.75" top="1" bottom="1" header="0.5" footer="0.5"/>
  <pageSetup paperSize="1" orientation="landscape"/>
  <headerFooter>
    <oddHeader>&amp;LHK loan composition data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A6F7F"/>
    <pageSetUpPr fitToPage="1"/>
  </sheetPr>
  <dimension ref="A1:I30"/>
  <sheetViews>
    <sheetView showGridLines="0" workbookViewId="0">
      <pane ySplit="5" topLeftCell="A6" activePane="bottomLeft" state="frozen"/>
      <selection/>
      <selection pane="bottomLeft" activeCell="A1" sqref="A1:I1"/>
    </sheetView>
  </sheetViews>
  <sheetFormatPr defaultColWidth="9" defaultRowHeight="16.8"/>
  <cols>
    <col min="1" max="1" width="38" customWidth="1"/>
    <col min="2" max="2" width="28" customWidth="1"/>
    <col min="3" max="3" width="18" customWidth="1"/>
    <col min="4" max="4" width="14" customWidth="1"/>
    <col min="5" max="5" width="12" customWidth="1"/>
    <col min="6" max="6" width="14" customWidth="1"/>
    <col min="7" max="7" width="18" customWidth="1"/>
    <col min="8" max="8" width="36" customWidth="1"/>
    <col min="9" max="9" width="22" customWidth="1"/>
  </cols>
  <sheetData>
    <row r="1" ht="24" customHeight="1" spans="1:9">
      <c r="A1" s="81" t="s">
        <v>64</v>
      </c>
    </row>
    <row r="2" spans="1:9">
      <c r="A2" s="71" t="s">
        <v>65</v>
      </c>
    </row>
    <row r="4" ht="19.2" spans="1:9">
      <c r="A4" s="90" t="s">
        <v>66</v>
      </c>
    </row>
    <row r="5" spans="1:9">
      <c r="A5" s="72" t="s">
        <v>67</v>
      </c>
      <c r="B5" s="72" t="s">
        <v>68</v>
      </c>
      <c r="C5" s="72" t="s">
        <v>69</v>
      </c>
      <c r="D5" s="72" t="s">
        <v>70</v>
      </c>
      <c r="E5" s="72" t="s">
        <v>71</v>
      </c>
      <c r="F5" s="72" t="s">
        <v>72</v>
      </c>
      <c r="G5" s="72" t="s">
        <v>73</v>
      </c>
      <c r="H5" s="72" t="s">
        <v>74</v>
      </c>
    </row>
    <row r="6" ht="17" spans="1:9">
      <c r="A6" s="107" t="s">
        <v>75</v>
      </c>
      <c r="B6" s="108" t="s">
        <v>76</v>
      </c>
      <c r="C6" s="109">
        <f>INDEX('A HKMA 1.2'!D:D,MATCH("2026-06",'A HKMA 1.2'!A:A,0))</f>
        <v>10787895.712</v>
      </c>
      <c r="D6" s="110">
        <f>C6/$C$6</f>
        <v>1</v>
      </c>
      <c r="E6" s="110">
        <f>C6/F6-1</f>
        <v>0.0619699430964316</v>
      </c>
      <c r="F6" s="109">
        <f>INDEX('A HKMA 1.2'!D:D,MATCH("2025-06",'A HKMA 1.2'!A:A,0))</f>
        <v>10158381.395</v>
      </c>
      <c r="G6" s="108" t="s">
        <v>77</v>
      </c>
      <c r="H6" s="111" t="s">
        <v>78</v>
      </c>
    </row>
    <row r="7" ht="17" spans="1:9">
      <c r="A7" s="100" t="s">
        <v>79</v>
      </c>
      <c r="B7" s="112" t="s">
        <v>80</v>
      </c>
      <c r="C7" s="113">
        <f>INDEX('A HKMA 1.2'!B:B,MATCH("2026-06",'A HKMA 1.2'!A:A,0))</f>
        <v>8095245.181</v>
      </c>
      <c r="D7" s="114">
        <f>C7/$C$6</f>
        <v>0.75040076369993</v>
      </c>
      <c r="E7" s="114">
        <f>C7/F7-1</f>
        <v>0.0581879521805724</v>
      </c>
      <c r="F7" s="113">
        <f>INDEX('A HKMA 1.2'!B:B,MATCH("2025-06",'A HKMA 1.2'!A:A,0))</f>
        <v>7650101.444</v>
      </c>
      <c r="G7" s="112" t="s">
        <v>77</v>
      </c>
      <c r="H7" s="115" t="s">
        <v>81</v>
      </c>
    </row>
    <row r="8" ht="17" spans="1:9">
      <c r="A8" s="107" t="s">
        <v>82</v>
      </c>
      <c r="B8" s="108" t="s">
        <v>83</v>
      </c>
      <c r="C8" s="109">
        <f>INDEX('A HKMA 1.2'!C:C,MATCH("2026-06",'A HKMA 1.2'!A:A,0))</f>
        <v>2692650.531</v>
      </c>
      <c r="D8" s="110">
        <f>C8/$C$6</f>
        <v>0.24959923630007</v>
      </c>
      <c r="E8" s="110">
        <f>C8/F8-1</f>
        <v>0.0735047855908171</v>
      </c>
      <c r="F8" s="109">
        <f>INDEX('A HKMA 1.2'!C:C,MATCH("2025-06",'A HKMA 1.2'!A:A,0))</f>
        <v>2508279.951</v>
      </c>
      <c r="G8" s="108" t="s">
        <v>77</v>
      </c>
      <c r="H8" s="111" t="s">
        <v>84</v>
      </c>
    </row>
    <row r="10" ht="19.2" spans="1:9">
      <c r="A10" s="90" t="s">
        <v>85</v>
      </c>
    </row>
    <row r="11" spans="1:9">
      <c r="A11" s="72" t="s">
        <v>86</v>
      </c>
      <c r="B11" s="72" t="s">
        <v>87</v>
      </c>
      <c r="C11" s="72" t="s">
        <v>69</v>
      </c>
      <c r="D11" s="72" t="s">
        <v>70</v>
      </c>
      <c r="E11" s="72" t="s">
        <v>71</v>
      </c>
      <c r="F11" s="72" t="s">
        <v>88</v>
      </c>
      <c r="G11" s="72" t="s">
        <v>72</v>
      </c>
      <c r="H11" s="72" t="s">
        <v>89</v>
      </c>
      <c r="I11" s="72" t="s">
        <v>73</v>
      </c>
    </row>
    <row r="12" ht="28" spans="1:9">
      <c r="A12" s="116" t="s">
        <v>90</v>
      </c>
      <c r="B12" s="83" t="s">
        <v>91</v>
      </c>
      <c r="C12" s="117">
        <f>INDEX('A HKMA 3.5.1'!L:L,MATCH("2026-06",'A HKMA 3.5.1'!A:A,0))</f>
        <v>3272236.539</v>
      </c>
      <c r="D12" s="118">
        <f t="shared" ref="D12:D18" si="0">C12/$C$6</f>
        <v>0.303324821295788</v>
      </c>
      <c r="E12" s="118">
        <f t="shared" ref="E12:E18" si="1">IF(G12=0,NA(),C12/G12-1)</f>
        <v>-0.0188566445091848</v>
      </c>
      <c r="F12" s="119">
        <f t="shared" ref="F12:F18" si="2">(D12-G12/$F$6)*100</f>
        <v>-2.49878981539426</v>
      </c>
      <c r="G12" s="117">
        <f>INDEX('A HKMA 3.5.1'!L:L,MATCH("2025-06",'A HKMA 3.5.1'!A:A,0))</f>
        <v>3335125.821</v>
      </c>
      <c r="H12" s="111" t="s">
        <v>92</v>
      </c>
      <c r="I12" s="83" t="s">
        <v>93</v>
      </c>
    </row>
    <row r="13" ht="31" spans="1:9">
      <c r="A13" s="120" t="s">
        <v>94</v>
      </c>
      <c r="B13" s="120" t="s">
        <v>95</v>
      </c>
      <c r="C13" s="121">
        <f>INDEX('A HKMA 3.5.1'!C:C,MATCH("2026-06",'A HKMA 3.5.1'!A:A,0))</f>
        <v>1313893.844</v>
      </c>
      <c r="D13" s="122">
        <f t="shared" si="0"/>
        <v>0.12179333941266</v>
      </c>
      <c r="E13" s="122">
        <f t="shared" si="1"/>
        <v>-0.0912317175164822</v>
      </c>
      <c r="F13" s="123">
        <f t="shared" si="2"/>
        <v>-2.05321226645586</v>
      </c>
      <c r="G13" s="121">
        <f>INDEX('A HKMA 3.5.1'!C:C,MATCH("2025-06",'A HKMA 3.5.1'!A:A,0))</f>
        <v>1445796.326</v>
      </c>
      <c r="H13" s="124" t="s">
        <v>96</v>
      </c>
      <c r="I13" s="120" t="s">
        <v>93</v>
      </c>
    </row>
    <row r="14" ht="31" spans="1:9">
      <c r="A14" s="120" t="s">
        <v>97</v>
      </c>
      <c r="B14" s="120" t="s">
        <v>98</v>
      </c>
      <c r="C14" s="121">
        <f>INDEX('A HKMA 3.5.1'!D:D,MATCH("2026-06",'A HKMA 3.5.1'!A:A,0))</f>
        <v>1958342.695</v>
      </c>
      <c r="D14" s="122">
        <f t="shared" si="0"/>
        <v>0.181531481883128</v>
      </c>
      <c r="E14" s="122">
        <f t="shared" si="1"/>
        <v>0.0365278794316393</v>
      </c>
      <c r="F14" s="123">
        <f t="shared" si="2"/>
        <v>-0.445577548938397</v>
      </c>
      <c r="G14" s="121">
        <f>INDEX('A HKMA 3.5.1'!D:D,MATCH("2025-06",'A HKMA 3.5.1'!A:A,0))</f>
        <v>1889329.495</v>
      </c>
      <c r="H14" s="124" t="s">
        <v>99</v>
      </c>
      <c r="I14" s="120" t="s">
        <v>93</v>
      </c>
    </row>
    <row r="15" spans="1:9">
      <c r="A15" s="116" t="s">
        <v>100</v>
      </c>
      <c r="B15" s="86" t="s">
        <v>101</v>
      </c>
      <c r="C15" s="125">
        <f>INDEX('A HKMA 3.4.1'!H:H,MATCH("2026-06",'A HKMA 3.4.1'!A:A,0))</f>
        <v>436089.191</v>
      </c>
      <c r="D15" s="99">
        <f t="shared" si="0"/>
        <v>0.0404239346247028</v>
      </c>
      <c r="E15" s="99">
        <f t="shared" si="1"/>
        <v>0.159121501489371</v>
      </c>
      <c r="F15" s="126">
        <f t="shared" si="2"/>
        <v>0.338812474802513</v>
      </c>
      <c r="G15" s="125">
        <f>INDEX('A HKMA 3.4.1'!H:H,MATCH("2025-06",'A HKMA 3.4.1'!A:A,0))</f>
        <v>376223.882</v>
      </c>
      <c r="H15" s="115" t="s">
        <v>102</v>
      </c>
      <c r="I15" s="86" t="s">
        <v>18</v>
      </c>
    </row>
    <row r="16" ht="28" spans="1:9">
      <c r="A16" s="116" t="s">
        <v>103</v>
      </c>
      <c r="B16" s="83" t="s">
        <v>104</v>
      </c>
      <c r="C16" s="117">
        <f>INDEX('A HKMA 3.5.1'!B:B,MATCH("2026-06",'A HKMA 3.5.1'!A:A,0))</f>
        <v>363633.971</v>
      </c>
      <c r="D16" s="118">
        <f t="shared" si="0"/>
        <v>0.0337075904984425</v>
      </c>
      <c r="E16" s="118">
        <f t="shared" si="1"/>
        <v>0.119318829086043</v>
      </c>
      <c r="F16" s="119">
        <f t="shared" si="2"/>
        <v>0.172702603962994</v>
      </c>
      <c r="G16" s="117">
        <f>INDEX('A HKMA 3.5.1'!B:B,MATCH("2025-06",'A HKMA 3.5.1'!A:A,0))</f>
        <v>324870.771</v>
      </c>
      <c r="H16" s="111" t="s">
        <v>105</v>
      </c>
      <c r="I16" s="83" t="s">
        <v>93</v>
      </c>
    </row>
    <row r="17" spans="1:9">
      <c r="A17" s="116" t="s">
        <v>106</v>
      </c>
      <c r="B17" s="86" t="s">
        <v>107</v>
      </c>
      <c r="C17" s="125">
        <f>INDEX('A HKMA 3.5.1'!E:E,MATCH("2026-06",'A HKMA 3.5.1'!A:A,0))</f>
        <v>312060.828</v>
      </c>
      <c r="D17" s="99">
        <f t="shared" si="0"/>
        <v>0.0289269414843227</v>
      </c>
      <c r="E17" s="99">
        <f t="shared" si="1"/>
        <v>0.0626947148946393</v>
      </c>
      <c r="F17" s="126">
        <f t="shared" si="2"/>
        <v>0.00197285552495825</v>
      </c>
      <c r="G17" s="125">
        <f>INDEX('A HKMA 3.5.1'!E:E,MATCH("2025-06",'A HKMA 3.5.1'!A:A,0))</f>
        <v>293650.494</v>
      </c>
      <c r="H17" s="115" t="s">
        <v>108</v>
      </c>
      <c r="I17" s="86" t="s">
        <v>93</v>
      </c>
    </row>
    <row r="18" ht="28" spans="1:9">
      <c r="A18" s="107" t="s">
        <v>109</v>
      </c>
      <c r="B18" s="83" t="s">
        <v>110</v>
      </c>
      <c r="C18" s="117">
        <f>C7-C12-C16-C17-C15</f>
        <v>3711224.652</v>
      </c>
      <c r="D18" s="118">
        <f t="shared" si="0"/>
        <v>0.344017475796674</v>
      </c>
      <c r="E18" s="118">
        <f t="shared" si="1"/>
        <v>0.117761155084344</v>
      </c>
      <c r="F18" s="119">
        <f t="shared" si="2"/>
        <v>1.71710672109288</v>
      </c>
      <c r="G18" s="117">
        <f>INDEX('A HKMA 1.2'!B:B,MATCH("2025-06",'A HKMA 1.2'!A:A,0))-G12-G16-G17-G15</f>
        <v>3320230.476</v>
      </c>
      <c r="H18" s="111" t="s">
        <v>111</v>
      </c>
      <c r="I18" s="83" t="s">
        <v>112</v>
      </c>
    </row>
    <row r="20" ht="19.2" spans="1:9">
      <c r="A20" s="90" t="s">
        <v>113</v>
      </c>
    </row>
    <row r="21" spans="1:9">
      <c r="A21" s="97" t="s">
        <v>67</v>
      </c>
      <c r="B21" s="97" t="s">
        <v>68</v>
      </c>
      <c r="C21" s="97" t="s">
        <v>69</v>
      </c>
      <c r="D21" s="97" t="s">
        <v>70</v>
      </c>
      <c r="E21" s="97" t="s">
        <v>71</v>
      </c>
      <c r="F21" s="97" t="s">
        <v>72</v>
      </c>
      <c r="G21" s="97" t="s">
        <v>73</v>
      </c>
      <c r="H21" s="97" t="s">
        <v>114</v>
      </c>
    </row>
    <row r="22" spans="1:9">
      <c r="A22" s="83" t="s">
        <v>115</v>
      </c>
      <c r="B22" s="83" t="s">
        <v>116</v>
      </c>
      <c r="C22" s="117">
        <f>INDEX('A HKMA 3.5.1'!F:F,MATCH("2026-06",'A HKMA 3.5.1'!A:A,0))</f>
        <v>1032728.289</v>
      </c>
      <c r="D22" s="118">
        <f>C22/$C$6</f>
        <v>0.0957302811011824</v>
      </c>
      <c r="E22" s="118">
        <f>C22/F22-1</f>
        <v>0.134299239141876</v>
      </c>
      <c r="F22" s="117">
        <f>INDEX('A HKMA 3.5.1'!F:F,MATCH("2025-06",'A HKMA 3.5.1'!A:A,0))</f>
        <v>910454.89</v>
      </c>
      <c r="G22" s="83" t="s">
        <v>93</v>
      </c>
      <c r="H22" s="83" t="s">
        <v>117</v>
      </c>
    </row>
    <row r="23" spans="1:9">
      <c r="A23" s="86" t="s">
        <v>118</v>
      </c>
      <c r="B23" s="86" t="s">
        <v>119</v>
      </c>
      <c r="C23" s="125">
        <f>INDEX('A HKMA 3.5.1'!G:G,MATCH("2026-06",'A HKMA 3.5.1'!A:A,0))</f>
        <v>794177.673</v>
      </c>
      <c r="D23" s="99">
        <f>C23/$C$6</f>
        <v>0.073617477791947</v>
      </c>
      <c r="E23" s="99">
        <f>C23/F23-1</f>
        <v>0.194338951229393</v>
      </c>
      <c r="F23" s="125">
        <f>INDEX('A HKMA 3.5.1'!G:G,MATCH("2025-06",'A HKMA 3.5.1'!A:A,0))</f>
        <v>664951.664</v>
      </c>
      <c r="G23" s="86" t="s">
        <v>93</v>
      </c>
      <c r="H23" s="86" t="s">
        <v>120</v>
      </c>
    </row>
    <row r="24" spans="1:9">
      <c r="A24" s="83" t="s">
        <v>121</v>
      </c>
      <c r="B24" s="83" t="s">
        <v>122</v>
      </c>
      <c r="C24" s="117">
        <f>INDEX('A HKMA 3.5.1'!H:H,MATCH("2026-06",'A HKMA 3.5.1'!A:A,0))</f>
        <v>331240.648</v>
      </c>
      <c r="D24" s="118">
        <f>C24/$C$6</f>
        <v>0.0307048433580556</v>
      </c>
      <c r="E24" s="118">
        <f>C24/F24-1</f>
        <v>0.166431903513663</v>
      </c>
      <c r="F24" s="117">
        <f>INDEX('A HKMA 3.5.1'!H:H,MATCH("2025-06",'A HKMA 3.5.1'!A:A,0))</f>
        <v>283977.699</v>
      </c>
      <c r="G24" s="83" t="s">
        <v>93</v>
      </c>
      <c r="H24" s="83" t="s">
        <v>123</v>
      </c>
    </row>
    <row r="25" spans="1:9">
      <c r="A25" s="86" t="s">
        <v>124</v>
      </c>
      <c r="B25" s="86" t="s">
        <v>125</v>
      </c>
      <c r="C25" s="125">
        <f>INDEX('A HKMA 3.5.1'!I:I,MATCH("2026-06",'A HKMA 3.5.1'!A:A,0))</f>
        <v>228617.921</v>
      </c>
      <c r="D25" s="99">
        <f>C25/$C$6</f>
        <v>0.0211920774081729</v>
      </c>
      <c r="E25" s="99">
        <f>C25/F25-1</f>
        <v>0.127030824538852</v>
      </c>
      <c r="F25" s="125">
        <f>INDEX('A HKMA 3.5.1'!I:I,MATCH("2025-06",'A HKMA 3.5.1'!A:A,0))</f>
        <v>202849.75</v>
      </c>
      <c r="G25" s="86" t="s">
        <v>93</v>
      </c>
      <c r="H25" s="86" t="s">
        <v>126</v>
      </c>
    </row>
    <row r="26" spans="1:9">
      <c r="A26" s="83" t="s">
        <v>127</v>
      </c>
      <c r="B26" s="83" t="s">
        <v>128</v>
      </c>
      <c r="C26" s="117">
        <f>INDEX('A HKMA 3.5.1'!J:J,MATCH("2026-06",'A HKMA 3.5.1'!A:A,0))</f>
        <v>215920.419</v>
      </c>
      <c r="D26" s="118">
        <f>C26/$C$6</f>
        <v>0.0200150636198512</v>
      </c>
      <c r="E26" s="118">
        <f>C26/F26-1</f>
        <v>0.00421615091207506</v>
      </c>
      <c r="F26" s="117">
        <f>INDEX('A HKMA 3.5.1'!J:J,MATCH("2025-06",'A HKMA 3.5.1'!A:A,0))</f>
        <v>215013.888</v>
      </c>
      <c r="G26" s="83" t="s">
        <v>93</v>
      </c>
      <c r="H26" s="83" t="s">
        <v>129</v>
      </c>
    </row>
    <row r="28" spans="1:9">
      <c r="A28" s="71" t="s">
        <v>130</v>
      </c>
    </row>
  </sheetData>
  <mergeCells count="3">
    <mergeCell ref="A1:I1"/>
    <mergeCell ref="A2:I2"/>
    <mergeCell ref="A28:I30"/>
  </mergeCells>
  <pageMargins left="0.75" right="0.75" top="1" bottom="1" header="0.5" footer="0.5"/>
  <pageSetup paperSize="1" orientation="landscape"/>
  <headerFooter>
    <oddFooter>&amp;R01 Snapshot  ·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A35A"/>
    <pageSetUpPr fitToPage="1"/>
  </sheetPr>
  <dimension ref="A1:H29"/>
  <sheetViews>
    <sheetView showGridLines="0" workbookViewId="0">
      <pane ySplit="5" topLeftCell="A6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6" customWidth="1"/>
    <col min="2" max="2" width="22" customWidth="1"/>
    <col min="3" max="3" width="24" customWidth="1"/>
    <col min="4" max="4" width="20" customWidth="1"/>
    <col min="5" max="6" width="16" customWidth="1"/>
    <col min="7" max="7" width="12" customWidth="1"/>
    <col min="8" max="8" width="28" customWidth="1"/>
  </cols>
  <sheetData>
    <row r="1" ht="26" spans="1:8">
      <c r="A1" s="81" t="s">
        <v>131</v>
      </c>
    </row>
    <row r="2" spans="1:8">
      <c r="A2" s="71" t="s">
        <v>132</v>
      </c>
    </row>
    <row r="4" ht="19.2" spans="1:8">
      <c r="A4" s="90" t="s">
        <v>133</v>
      </c>
    </row>
    <row r="5" ht="31" spans="1:8">
      <c r="A5" s="72" t="s">
        <v>134</v>
      </c>
      <c r="B5" s="72" t="s">
        <v>135</v>
      </c>
      <c r="C5" s="72" t="s">
        <v>136</v>
      </c>
      <c r="D5" s="72" t="s">
        <v>137</v>
      </c>
      <c r="E5" s="72" t="s">
        <v>138</v>
      </c>
      <c r="F5" s="72" t="s">
        <v>139</v>
      </c>
      <c r="G5" s="72" t="s">
        <v>140</v>
      </c>
      <c r="H5" s="72" t="s">
        <v>141</v>
      </c>
    </row>
    <row r="6" spans="1:8">
      <c r="A6" s="73" t="s">
        <v>142</v>
      </c>
      <c r="B6" s="104">
        <f>INDEX('A HKMA 3.4.1'!D:D,MATCH("2021-12",'A HKMA 3.4.1'!A:A,0))</f>
        <v>291386.293</v>
      </c>
      <c r="C6" s="104">
        <f>INDEX('A HKMA 3.4.1'!G:G,MATCH("2021-12",'A HKMA 3.4.1'!A:A,0))</f>
        <v>193643.952</v>
      </c>
      <c r="D6" s="104">
        <f t="shared" ref="D6:D12" si="0">B6+C6</f>
        <v>485030.245</v>
      </c>
      <c r="E6" s="104">
        <f>INDEX('A HKMA 3.4.1'!I:I,MATCH("2021-12",'A HKMA 3.4.1'!A:A,0))</f>
        <v>68943.894</v>
      </c>
      <c r="F6" s="104">
        <f>INDEX('A HKMA 3.4.1'!J:J,MATCH("2021-12",'A HKMA 3.4.1'!A:A,0))</f>
        <v>416086.351</v>
      </c>
      <c r="G6" s="77">
        <f t="shared" ref="G6:G12" si="1">F6/D6</f>
        <v>0.857856505422667</v>
      </c>
      <c r="H6" s="82" t="s">
        <v>143</v>
      </c>
    </row>
    <row r="7" spans="1:8">
      <c r="A7" s="75" t="s">
        <v>144</v>
      </c>
      <c r="B7" s="105">
        <f>INDEX('A HKMA 3.4.1'!D:D,MATCH("2022-12",'A HKMA 3.4.1'!A:A,0))</f>
        <v>247483.501</v>
      </c>
      <c r="C7" s="105">
        <f>INDEX('A HKMA 3.4.1'!G:G,MATCH("2022-12",'A HKMA 3.4.1'!A:A,0))</f>
        <v>172208.274</v>
      </c>
      <c r="D7" s="105">
        <f t="shared" si="0"/>
        <v>419691.775</v>
      </c>
      <c r="E7" s="105">
        <f>INDEX('A HKMA 3.4.1'!I:I,MATCH("2022-12",'A HKMA 3.4.1'!A:A,0))</f>
        <v>70691.279</v>
      </c>
      <c r="F7" s="105">
        <f>INDEX('A HKMA 3.4.1'!J:J,MATCH("2022-12",'A HKMA 3.4.1'!A:A,0))</f>
        <v>349000.496</v>
      </c>
      <c r="G7" s="78">
        <f t="shared" si="1"/>
        <v>0.831563820854007</v>
      </c>
      <c r="H7" s="80" t="s">
        <v>145</v>
      </c>
    </row>
    <row r="8" spans="1:8">
      <c r="A8" s="73" t="s">
        <v>146</v>
      </c>
      <c r="B8" s="104">
        <f>INDEX('A HKMA 3.4.1'!D:D,MATCH("2023-12",'A HKMA 3.4.1'!A:A,0))</f>
        <v>205113.077</v>
      </c>
      <c r="C8" s="104">
        <f>INDEX('A HKMA 3.4.1'!G:G,MATCH("2023-12",'A HKMA 3.4.1'!A:A,0))</f>
        <v>159512.792</v>
      </c>
      <c r="D8" s="104">
        <f t="shared" si="0"/>
        <v>364625.869</v>
      </c>
      <c r="E8" s="104">
        <f>INDEX('A HKMA 3.4.1'!I:I,MATCH("2023-12",'A HKMA 3.4.1'!A:A,0))</f>
        <v>65989.26</v>
      </c>
      <c r="F8" s="104">
        <f>INDEX('A HKMA 3.4.1'!J:J,MATCH("2023-12",'A HKMA 3.4.1'!A:A,0))</f>
        <v>298636.609</v>
      </c>
      <c r="G8" s="77">
        <f t="shared" si="1"/>
        <v>0.819022001425796</v>
      </c>
      <c r="H8" s="79" t="s">
        <v>147</v>
      </c>
    </row>
    <row r="9" spans="1:8">
      <c r="A9" s="75" t="s">
        <v>148</v>
      </c>
      <c r="B9" s="105">
        <f>INDEX('A HKMA 3.4.1'!D:D,MATCH("2024-12",'A HKMA 3.4.1'!A:A,0))</f>
        <v>231747.777</v>
      </c>
      <c r="C9" s="105">
        <f>INDEX('A HKMA 3.4.1'!G:G,MATCH("2024-12",'A HKMA 3.4.1'!A:A,0))</f>
        <v>149495.091</v>
      </c>
      <c r="D9" s="105">
        <f t="shared" si="0"/>
        <v>381242.868</v>
      </c>
      <c r="E9" s="105">
        <f>INDEX('A HKMA 3.4.1'!I:I,MATCH("2024-12",'A HKMA 3.4.1'!A:A,0))</f>
        <v>71266.122</v>
      </c>
      <c r="F9" s="105">
        <f>INDEX('A HKMA 3.4.1'!J:J,MATCH("2024-12",'A HKMA 3.4.1'!A:A,0))</f>
        <v>309976.746</v>
      </c>
      <c r="G9" s="78">
        <f t="shared" si="1"/>
        <v>0.813068969987919</v>
      </c>
      <c r="H9" s="80" t="s">
        <v>149</v>
      </c>
    </row>
    <row r="10" spans="1:8">
      <c r="A10" s="73" t="s">
        <v>150</v>
      </c>
      <c r="B10" s="104">
        <f>INDEX('A HKMA 3.4.1'!D:D,MATCH("2025-06",'A HKMA 3.4.1'!A:A,0))</f>
        <v>223874.518</v>
      </c>
      <c r="C10" s="104">
        <f>INDEX('A HKMA 3.4.1'!G:G,MATCH("2025-06",'A HKMA 3.4.1'!A:A,0))</f>
        <v>152349.364</v>
      </c>
      <c r="D10" s="104">
        <f t="shared" si="0"/>
        <v>376223.882</v>
      </c>
      <c r="E10" s="104">
        <f>INDEX('A HKMA 3.4.1'!I:I,MATCH("2025-06",'A HKMA 3.4.1'!A:A,0))</f>
        <v>77937.981</v>
      </c>
      <c r="F10" s="104">
        <f>INDEX('A HKMA 3.4.1'!J:J,MATCH("2025-06",'A HKMA 3.4.1'!A:A,0))</f>
        <v>298285.901</v>
      </c>
      <c r="G10" s="77">
        <f t="shared" si="1"/>
        <v>0.79284148420966</v>
      </c>
      <c r="H10" s="79" t="s">
        <v>151</v>
      </c>
    </row>
    <row r="11" spans="1:8">
      <c r="A11" s="75" t="s">
        <v>152</v>
      </c>
      <c r="B11" s="105">
        <f>INDEX('A HKMA 3.4.1'!D:D,MATCH("2025-12",'A HKMA 3.4.1'!A:A,0))</f>
        <v>242164.482</v>
      </c>
      <c r="C11" s="105">
        <f>INDEX('A HKMA 3.4.1'!G:G,MATCH("2025-12",'A HKMA 3.4.1'!A:A,0))</f>
        <v>148615.729</v>
      </c>
      <c r="D11" s="105">
        <f t="shared" si="0"/>
        <v>390780.211</v>
      </c>
      <c r="E11" s="105">
        <f>INDEX('A HKMA 3.4.1'!I:I,MATCH("2025-12",'A HKMA 3.4.1'!A:A,0))</f>
        <v>70403.018</v>
      </c>
      <c r="F11" s="105">
        <f>INDEX('A HKMA 3.4.1'!J:J,MATCH("2025-12",'A HKMA 3.4.1'!A:A,0))</f>
        <v>320377.193</v>
      </c>
      <c r="G11" s="78">
        <f t="shared" si="1"/>
        <v>0.819839858779338</v>
      </c>
      <c r="H11" s="80" t="s">
        <v>153</v>
      </c>
    </row>
    <row r="12" spans="1:8">
      <c r="A12" s="91" t="s">
        <v>154</v>
      </c>
      <c r="B12" s="106">
        <f>INDEX('A HKMA 3.4.1'!D:D,MATCH("2026-06",'A HKMA 3.4.1'!A:A,0))</f>
        <v>262817.157</v>
      </c>
      <c r="C12" s="106">
        <f>INDEX('A HKMA 3.4.1'!G:G,MATCH("2026-06",'A HKMA 3.4.1'!A:A,0))</f>
        <v>173272.034</v>
      </c>
      <c r="D12" s="106">
        <f t="shared" si="0"/>
        <v>436089.191</v>
      </c>
      <c r="E12" s="106">
        <f>INDEX('A HKMA 3.4.1'!I:I,MATCH("2026-06",'A HKMA 3.4.1'!A:A,0))</f>
        <v>69891.593</v>
      </c>
      <c r="F12" s="106">
        <f>INDEX('A HKMA 3.4.1'!J:J,MATCH("2026-06",'A HKMA 3.4.1'!A:A,0))</f>
        <v>366197.598</v>
      </c>
      <c r="G12" s="94">
        <f t="shared" si="1"/>
        <v>0.839730966870032</v>
      </c>
      <c r="H12" s="92" t="s">
        <v>155</v>
      </c>
    </row>
    <row r="14" ht="19.2" spans="1:8">
      <c r="A14" s="90" t="s">
        <v>156</v>
      </c>
    </row>
    <row r="28" spans="1:1">
      <c r="A28" s="71" t="s">
        <v>157</v>
      </c>
    </row>
  </sheetData>
  <mergeCells count="3">
    <mergeCell ref="A1:H1"/>
    <mergeCell ref="A2:H2"/>
    <mergeCell ref="A28:H29"/>
  </mergeCells>
  <pageMargins left="0.75" right="0.75" top="1" bottom="1" header="0.5" footer="0.5"/>
  <pageSetup paperSize="1" orientation="landscape"/>
  <headerFooter>
    <oddFooter>&amp;R02 Trade finance trend  · 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3A3A"/>
    <pageSetUpPr fitToPage="1"/>
  </sheetPr>
  <dimension ref="A1:Z38"/>
  <sheetViews>
    <sheetView showGridLines="0" workbookViewId="0">
      <pane ySplit="5" topLeftCell="A6" activePane="bottomLeft" state="frozen"/>
      <selection/>
      <selection pane="bottomLeft" activeCell="G6" sqref="G6:G15"/>
    </sheetView>
  </sheetViews>
  <sheetFormatPr defaultColWidth="9" defaultRowHeight="16.8"/>
  <cols>
    <col min="1" max="1" width="10" customWidth="1"/>
    <col min="2" max="2" width="42" customWidth="1"/>
    <col min="3" max="3" width="28" customWidth="1"/>
    <col min="4" max="4" width="20" customWidth="1"/>
    <col min="5" max="6" width="16" customWidth="1"/>
    <col min="7" max="7" width="22" customWidth="1"/>
    <col min="26" max="26" width="13" hidden="1" customWidth="1"/>
  </cols>
  <sheetData>
    <row r="1" ht="26" spans="1:26">
      <c r="A1" s="81" t="s">
        <v>158</v>
      </c>
      <c r="Z1" s="88">
        <v>500.9</v>
      </c>
    </row>
    <row r="2" spans="1:26">
      <c r="A2" s="71" t="s">
        <v>159</v>
      </c>
      <c r="Z2" s="89" t="s">
        <v>160</v>
      </c>
    </row>
    <row r="4" ht="19.2" spans="1:26">
      <c r="A4" s="90" t="s">
        <v>161</v>
      </c>
    </row>
    <row r="5" spans="1:26">
      <c r="A5" s="72" t="s">
        <v>162</v>
      </c>
      <c r="B5" s="72" t="s">
        <v>163</v>
      </c>
      <c r="C5" s="72" t="s">
        <v>164</v>
      </c>
      <c r="D5" s="72" t="s">
        <v>165</v>
      </c>
      <c r="E5" s="72" t="s">
        <v>166</v>
      </c>
      <c r="F5" s="72" t="s">
        <v>167</v>
      </c>
      <c r="G5" s="72" t="s">
        <v>168</v>
      </c>
    </row>
    <row r="6" spans="1:26">
      <c r="A6" s="91">
        <v>1</v>
      </c>
      <c r="B6" s="92" t="s">
        <v>169</v>
      </c>
      <c r="C6" s="92" t="s">
        <v>170</v>
      </c>
      <c r="D6" s="93">
        <v>153.1</v>
      </c>
      <c r="E6" s="94">
        <f t="shared" ref="E6:E26" si="0">D6/$Z$1</f>
        <v>0.30564983030545</v>
      </c>
      <c r="F6" s="92" t="s">
        <v>171</v>
      </c>
      <c r="G6" s="92" t="s">
        <v>172</v>
      </c>
    </row>
    <row r="7" spans="1:26">
      <c r="A7" s="91">
        <v>2</v>
      </c>
      <c r="B7" s="92" t="s">
        <v>173</v>
      </c>
      <c r="C7" s="92" t="s">
        <v>174</v>
      </c>
      <c r="D7" s="93">
        <v>63.5</v>
      </c>
      <c r="E7" s="94">
        <f t="shared" si="0"/>
        <v>0.126771810740667</v>
      </c>
      <c r="F7" s="92" t="s">
        <v>171</v>
      </c>
      <c r="G7" s="92" t="s">
        <v>175</v>
      </c>
    </row>
    <row r="8" spans="1:26">
      <c r="A8" s="91">
        <v>3</v>
      </c>
      <c r="B8" s="92" t="s">
        <v>176</v>
      </c>
      <c r="C8" s="92" t="s">
        <v>177</v>
      </c>
      <c r="D8" s="93">
        <v>47</v>
      </c>
      <c r="E8" s="94">
        <f t="shared" si="0"/>
        <v>0.093831104012777</v>
      </c>
      <c r="F8" s="92" t="s">
        <v>171</v>
      </c>
      <c r="G8" s="92" t="s">
        <v>178</v>
      </c>
    </row>
    <row r="9" spans="1:26">
      <c r="A9" s="91">
        <v>4</v>
      </c>
      <c r="B9" s="92" t="s">
        <v>179</v>
      </c>
      <c r="C9" s="92" t="s">
        <v>180</v>
      </c>
      <c r="D9" s="93">
        <v>30.5</v>
      </c>
      <c r="E9" s="94">
        <f t="shared" si="0"/>
        <v>0.0608903972848872</v>
      </c>
      <c r="F9" s="92" t="s">
        <v>171</v>
      </c>
      <c r="G9" s="92" t="s">
        <v>181</v>
      </c>
    </row>
    <row r="10" spans="1:26">
      <c r="A10" s="91">
        <v>5</v>
      </c>
      <c r="B10" s="92" t="s">
        <v>182</v>
      </c>
      <c r="C10" s="92" t="s">
        <v>183</v>
      </c>
      <c r="D10" s="93">
        <v>27.8</v>
      </c>
      <c r="E10" s="94">
        <f t="shared" si="0"/>
        <v>0.0555000998203234</v>
      </c>
      <c r="F10" s="92" t="s">
        <v>171</v>
      </c>
      <c r="G10" s="92" t="s">
        <v>184</v>
      </c>
    </row>
    <row r="11" spans="1:26">
      <c r="A11" s="91">
        <v>6</v>
      </c>
      <c r="B11" s="92" t="s">
        <v>185</v>
      </c>
      <c r="C11" s="92" t="s">
        <v>186</v>
      </c>
      <c r="D11" s="93">
        <v>16.9</v>
      </c>
      <c r="E11" s="94">
        <f t="shared" si="0"/>
        <v>0.0337392693152326</v>
      </c>
      <c r="F11" s="92" t="s">
        <v>171</v>
      </c>
      <c r="G11" s="92" t="s">
        <v>187</v>
      </c>
    </row>
    <row r="12" spans="1:26">
      <c r="A12" s="91">
        <v>7</v>
      </c>
      <c r="B12" s="92" t="s">
        <v>188</v>
      </c>
      <c r="C12" s="92" t="s">
        <v>189</v>
      </c>
      <c r="D12" s="93">
        <v>10.8</v>
      </c>
      <c r="E12" s="94">
        <f t="shared" si="0"/>
        <v>0.0215611898582551</v>
      </c>
      <c r="F12" s="92" t="s">
        <v>171</v>
      </c>
      <c r="G12" s="92" t="s">
        <v>190</v>
      </c>
    </row>
    <row r="13" spans="1:26">
      <c r="A13" s="91">
        <v>8</v>
      </c>
      <c r="B13" s="92" t="s">
        <v>191</v>
      </c>
      <c r="C13" s="92" t="s">
        <v>192</v>
      </c>
      <c r="D13" s="93">
        <v>10.4</v>
      </c>
      <c r="E13" s="94">
        <f t="shared" si="0"/>
        <v>0.0207626272709124</v>
      </c>
      <c r="F13" s="92" t="s">
        <v>171</v>
      </c>
      <c r="G13" s="92" t="s">
        <v>126</v>
      </c>
    </row>
    <row r="14" spans="1:26">
      <c r="A14" s="91">
        <v>9</v>
      </c>
      <c r="B14" s="92" t="s">
        <v>193</v>
      </c>
      <c r="C14" s="92" t="s">
        <v>194</v>
      </c>
      <c r="D14" s="93">
        <v>9.8</v>
      </c>
      <c r="E14" s="94">
        <f t="shared" si="0"/>
        <v>0.0195647833898982</v>
      </c>
      <c r="F14" s="92" t="s">
        <v>171</v>
      </c>
      <c r="G14" s="92" t="s">
        <v>129</v>
      </c>
    </row>
    <row r="15" spans="1:26">
      <c r="A15" s="91">
        <v>10</v>
      </c>
      <c r="B15" s="92" t="s">
        <v>195</v>
      </c>
      <c r="C15" s="92" t="s">
        <v>196</v>
      </c>
      <c r="D15" s="93">
        <v>9.7</v>
      </c>
      <c r="E15" s="94">
        <f t="shared" si="0"/>
        <v>0.0193651427430625</v>
      </c>
      <c r="F15" s="92" t="s">
        <v>171</v>
      </c>
      <c r="G15" s="92" t="s">
        <v>197</v>
      </c>
    </row>
    <row r="16" spans="1:26">
      <c r="A16" s="73">
        <v>11</v>
      </c>
      <c r="B16" s="79" t="s">
        <v>198</v>
      </c>
      <c r="C16" s="79" t="s">
        <v>199</v>
      </c>
      <c r="D16" s="95">
        <v>9.7</v>
      </c>
      <c r="E16" s="77">
        <f t="shared" si="0"/>
        <v>0.0193651427430625</v>
      </c>
      <c r="F16" s="79" t="s">
        <v>200</v>
      </c>
      <c r="G16" s="79"/>
    </row>
    <row r="17" spans="1:7">
      <c r="A17" s="75">
        <v>12</v>
      </c>
      <c r="B17" s="80" t="s">
        <v>201</v>
      </c>
      <c r="C17" s="80" t="s">
        <v>202</v>
      </c>
      <c r="D17" s="96">
        <v>9.6</v>
      </c>
      <c r="E17" s="78">
        <f t="shared" si="0"/>
        <v>0.0191655020962268</v>
      </c>
      <c r="F17" s="80" t="s">
        <v>200</v>
      </c>
      <c r="G17" s="80"/>
    </row>
    <row r="18" spans="1:7">
      <c r="A18" s="73">
        <v>13</v>
      </c>
      <c r="B18" s="79" t="s">
        <v>203</v>
      </c>
      <c r="C18" s="79" t="s">
        <v>204</v>
      </c>
      <c r="D18" s="95">
        <v>8.9</v>
      </c>
      <c r="E18" s="77">
        <f t="shared" si="0"/>
        <v>0.0177680175683769</v>
      </c>
      <c r="F18" s="79" t="s">
        <v>200</v>
      </c>
      <c r="G18" s="79"/>
    </row>
    <row r="19" spans="1:7">
      <c r="A19" s="75">
        <v>14</v>
      </c>
      <c r="B19" s="80" t="s">
        <v>205</v>
      </c>
      <c r="C19" s="80" t="s">
        <v>206</v>
      </c>
      <c r="D19" s="96">
        <v>7.6</v>
      </c>
      <c r="E19" s="78">
        <f t="shared" si="0"/>
        <v>0.0151726891595129</v>
      </c>
      <c r="F19" s="80" t="s">
        <v>200</v>
      </c>
      <c r="G19" s="80"/>
    </row>
    <row r="20" spans="1:7">
      <c r="A20" s="73">
        <v>15</v>
      </c>
      <c r="B20" s="79" t="s">
        <v>207</v>
      </c>
      <c r="C20" s="79" t="s">
        <v>208</v>
      </c>
      <c r="D20" s="95">
        <v>7.2</v>
      </c>
      <c r="E20" s="77">
        <f t="shared" si="0"/>
        <v>0.0143741265721701</v>
      </c>
      <c r="F20" s="79" t="s">
        <v>200</v>
      </c>
      <c r="G20" s="79"/>
    </row>
    <row r="21" spans="1:7">
      <c r="A21" s="75">
        <v>16</v>
      </c>
      <c r="B21" s="80" t="s">
        <v>209</v>
      </c>
      <c r="C21" s="80" t="s">
        <v>210</v>
      </c>
      <c r="D21" s="96">
        <v>6.9</v>
      </c>
      <c r="E21" s="78">
        <f t="shared" si="0"/>
        <v>0.013775204631663</v>
      </c>
      <c r="F21" s="80" t="s">
        <v>200</v>
      </c>
      <c r="G21" s="80"/>
    </row>
    <row r="22" spans="1:7">
      <c r="A22" s="73">
        <v>17</v>
      </c>
      <c r="B22" s="79" t="s">
        <v>211</v>
      </c>
      <c r="C22" s="79" t="s">
        <v>212</v>
      </c>
      <c r="D22" s="95">
        <v>6.5</v>
      </c>
      <c r="E22" s="77">
        <f t="shared" si="0"/>
        <v>0.0129766420443202</v>
      </c>
      <c r="F22" s="79" t="s">
        <v>200</v>
      </c>
      <c r="G22" s="79"/>
    </row>
    <row r="23" spans="1:7">
      <c r="A23" s="75">
        <v>18</v>
      </c>
      <c r="B23" s="80" t="s">
        <v>213</v>
      </c>
      <c r="C23" s="80" t="s">
        <v>214</v>
      </c>
      <c r="D23" s="96">
        <v>6.4</v>
      </c>
      <c r="E23" s="78">
        <f t="shared" si="0"/>
        <v>0.0127770013974845</v>
      </c>
      <c r="F23" s="80" t="s">
        <v>200</v>
      </c>
      <c r="G23" s="80"/>
    </row>
    <row r="24" spans="1:7">
      <c r="A24" s="73">
        <v>19</v>
      </c>
      <c r="B24" s="79" t="s">
        <v>215</v>
      </c>
      <c r="C24" s="79" t="s">
        <v>216</v>
      </c>
      <c r="D24" s="95">
        <v>4.9</v>
      </c>
      <c r="E24" s="77">
        <f t="shared" si="0"/>
        <v>0.00978239169494909</v>
      </c>
      <c r="F24" s="79" t="s">
        <v>200</v>
      </c>
      <c r="G24" s="79"/>
    </row>
    <row r="25" spans="1:7">
      <c r="A25" s="75">
        <v>20</v>
      </c>
      <c r="B25" s="80" t="s">
        <v>217</v>
      </c>
      <c r="C25" s="80" t="s">
        <v>218</v>
      </c>
      <c r="D25" s="96">
        <v>4.7</v>
      </c>
      <c r="E25" s="78">
        <f t="shared" si="0"/>
        <v>0.0093831104012777</v>
      </c>
      <c r="F25" s="80" t="s">
        <v>200</v>
      </c>
      <c r="G25" s="80"/>
    </row>
    <row r="26" spans="1:7">
      <c r="A26" s="73" t="s">
        <v>219</v>
      </c>
      <c r="B26" s="79" t="s">
        <v>220</v>
      </c>
      <c r="C26" s="79" t="s">
        <v>221</v>
      </c>
      <c r="D26" s="95">
        <v>49.1</v>
      </c>
      <c r="E26" s="77">
        <f t="shared" si="0"/>
        <v>0.0980235575963266</v>
      </c>
      <c r="F26" s="79" t="s">
        <v>222</v>
      </c>
      <c r="G26" s="79" t="s">
        <v>223</v>
      </c>
    </row>
    <row r="29" ht="19.2" spans="1:7">
      <c r="A29" s="90" t="s">
        <v>224</v>
      </c>
    </row>
    <row r="30" spans="1:7">
      <c r="A30" s="97" t="s">
        <v>167</v>
      </c>
      <c r="B30" s="97" t="s">
        <v>165</v>
      </c>
      <c r="C30" s="97" t="s">
        <v>166</v>
      </c>
      <c r="D30" s="97" t="s">
        <v>225</v>
      </c>
    </row>
    <row r="31" spans="1:7">
      <c r="A31" s="86" t="s">
        <v>171</v>
      </c>
      <c r="B31" s="98">
        <f>SUM(D6:D15)</f>
        <v>379.5</v>
      </c>
      <c r="C31" s="99">
        <f>B31/$Z$1</f>
        <v>0.757636254741465</v>
      </c>
      <c r="D31" s="85" t="s">
        <v>226</v>
      </c>
    </row>
    <row r="32" spans="1:7">
      <c r="A32" s="86" t="s">
        <v>200</v>
      </c>
      <c r="B32" s="98">
        <f>SUM(D16:D25)</f>
        <v>72.4</v>
      </c>
      <c r="C32" s="99">
        <f>B32/$Z$1</f>
        <v>0.144539828309044</v>
      </c>
      <c r="D32" s="85" t="s">
        <v>227</v>
      </c>
    </row>
    <row r="33" spans="1:4">
      <c r="A33" s="86" t="s">
        <v>222</v>
      </c>
      <c r="B33" s="98">
        <f>D26</f>
        <v>49.1</v>
      </c>
      <c r="C33" s="99">
        <f>B33/$Z$1</f>
        <v>0.0980235575963266</v>
      </c>
      <c r="D33" s="85" t="s">
        <v>223</v>
      </c>
    </row>
    <row r="34" spans="1:4">
      <c r="A34" s="100" t="s">
        <v>228</v>
      </c>
      <c r="B34" s="101">
        <f>B31+B32+B33</f>
        <v>501</v>
      </c>
      <c r="C34" s="102">
        <f>B34/$Z$1</f>
        <v>1.00019964064684</v>
      </c>
      <c r="D34" s="103"/>
    </row>
    <row r="36" spans="1:4">
      <c r="A36" s="71" t="s">
        <v>229</v>
      </c>
    </row>
  </sheetData>
  <mergeCells count="3">
    <mergeCell ref="A1:G1"/>
    <mergeCell ref="A2:G2"/>
    <mergeCell ref="A36:G38"/>
  </mergeCells>
  <pageMargins left="0.75" right="0.75" top="1" bottom="1" header="0.5" footer="0.5"/>
  <pageSetup paperSize="1" orientation="landscape"/>
  <headerFooter>
    <oddFooter>&amp;R03 Lenders 2024  ·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5560"/>
    <pageSetUpPr fitToPage="1"/>
  </sheetPr>
  <dimension ref="A1:E12"/>
  <sheetViews>
    <sheetView showGridLines="0" workbookViewId="0">
      <selection activeCell="A1" sqref="A1:E1"/>
    </sheetView>
  </sheetViews>
  <sheetFormatPr defaultColWidth="9" defaultRowHeight="16.8" outlineLevelCol="4"/>
  <cols>
    <col min="1" max="1" width="8" customWidth="1"/>
    <col min="2" max="2" width="22" customWidth="1"/>
    <col min="3" max="3" width="56" customWidth="1"/>
    <col min="4" max="4" width="88" customWidth="1"/>
    <col min="5" max="5" width="28" customWidth="1"/>
  </cols>
  <sheetData>
    <row r="1" ht="26" spans="1:5">
      <c r="A1" s="81" t="s">
        <v>230</v>
      </c>
    </row>
    <row r="2" spans="1:5">
      <c r="A2" s="71" t="s">
        <v>231</v>
      </c>
    </row>
    <row r="4" spans="1:5">
      <c r="A4" s="72" t="s">
        <v>3</v>
      </c>
      <c r="B4" s="72" t="s">
        <v>232</v>
      </c>
      <c r="C4" s="72" t="s">
        <v>233</v>
      </c>
      <c r="D4" s="72" t="s">
        <v>234</v>
      </c>
      <c r="E4" s="72" t="s">
        <v>235</v>
      </c>
    </row>
    <row r="5" ht="31" spans="1:5">
      <c r="A5" s="82">
        <v>1</v>
      </c>
      <c r="B5" s="83" t="s">
        <v>33</v>
      </c>
      <c r="C5" s="83" t="s">
        <v>236</v>
      </c>
      <c r="D5" s="84" t="s">
        <v>237</v>
      </c>
      <c r="E5" s="83" t="s">
        <v>238</v>
      </c>
    </row>
    <row r="6" ht="31" spans="1:5">
      <c r="A6" s="85">
        <v>2</v>
      </c>
      <c r="B6" s="86" t="s">
        <v>38</v>
      </c>
      <c r="C6" s="86" t="s">
        <v>239</v>
      </c>
      <c r="D6" s="87" t="s">
        <v>240</v>
      </c>
      <c r="E6" s="86" t="s">
        <v>241</v>
      </c>
    </row>
    <row r="7" ht="31" spans="1:5">
      <c r="A7" s="82">
        <v>3</v>
      </c>
      <c r="B7" s="83" t="s">
        <v>43</v>
      </c>
      <c r="C7" s="83" t="s">
        <v>242</v>
      </c>
      <c r="D7" s="84" t="s">
        <v>243</v>
      </c>
      <c r="E7" s="83" t="s">
        <v>244</v>
      </c>
    </row>
    <row r="8" ht="31" spans="1:5">
      <c r="A8" s="85">
        <v>4</v>
      </c>
      <c r="B8" s="86" t="s">
        <v>245</v>
      </c>
      <c r="C8" s="86" t="s">
        <v>246</v>
      </c>
      <c r="D8" s="87" t="s">
        <v>247</v>
      </c>
      <c r="E8" s="86" t="s">
        <v>19</v>
      </c>
    </row>
    <row r="10" spans="1:5">
      <c r="B10" s="71" t="s">
        <v>248</v>
      </c>
    </row>
  </sheetData>
  <mergeCells count="3">
    <mergeCell ref="A1:E1"/>
    <mergeCell ref="A2:E2"/>
    <mergeCell ref="B10:E12"/>
  </mergeCells>
  <hyperlinks>
    <hyperlink ref="D5" r:id="rId1" display="https://apidocs.hkma.gov.hk/apidata/?api=market-data-and-statistics.monthly-statistical-bulletin.financial.banking-statistics&amp;page=1"/>
    <hyperlink ref="D6" r:id="rId2" display="https://apidocs.hkma.gov.hk/documentation/market-data-and-statistics/monthly-statistical-bulletin/banking/loans-by-type/"/>
    <hyperlink ref="D7" r:id="rId3" display="https://apidocs.hkma.gov.hk/apidata/?api=market-data-and-statistics.monthly-statistical-bulletin.banking.loans-by-sector-ais"/>
  </hyperlinks>
  <pageMargins left="0.75" right="0.75" top="1" bottom="1" header="0.5" footer="0.5"/>
  <pageSetup paperSize="1" orientation="landscape"/>
  <headerFooter>
    <oddFooter>&amp;R04 Sources  ·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A8B99"/>
    <pageSetUpPr fitToPage="1"/>
  </sheetPr>
  <dimension ref="A1:E23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Col="4"/>
  <cols>
    <col min="1" max="1" width="16" customWidth="1"/>
    <col min="2" max="2" width="22" customWidth="1"/>
    <col min="3" max="4" width="26" customWidth="1"/>
    <col min="5" max="5" width="18" customWidth="1"/>
  </cols>
  <sheetData>
    <row r="1" ht="123" spans="1:5">
      <c r="A1" s="70" t="s">
        <v>249</v>
      </c>
    </row>
    <row r="2" ht="136" spans="1:5">
      <c r="A2" s="71" t="s">
        <v>250</v>
      </c>
    </row>
    <row r="4" spans="1:5">
      <c r="A4" s="72" t="s">
        <v>134</v>
      </c>
      <c r="B4" s="72" t="s">
        <v>251</v>
      </c>
      <c r="C4" s="72" t="s">
        <v>252</v>
      </c>
      <c r="D4" s="72" t="s">
        <v>75</v>
      </c>
      <c r="E4" s="72" t="s">
        <v>253</v>
      </c>
    </row>
    <row r="5" spans="1:5">
      <c r="A5" s="73" t="s">
        <v>254</v>
      </c>
      <c r="B5" s="74">
        <v>8070867.022</v>
      </c>
      <c r="C5" s="74">
        <v>2738987.174</v>
      </c>
      <c r="D5" s="74">
        <v>10809854.196</v>
      </c>
      <c r="E5" s="79" t="s">
        <v>255</v>
      </c>
    </row>
    <row r="6" spans="1:5">
      <c r="A6" s="75" t="s">
        <v>154</v>
      </c>
      <c r="B6" s="76">
        <v>8095245.181</v>
      </c>
      <c r="C6" s="76">
        <v>2692650.531</v>
      </c>
      <c r="D6" s="76">
        <v>10787895.712</v>
      </c>
      <c r="E6" s="80" t="s">
        <v>255</v>
      </c>
    </row>
    <row r="7" spans="1:5">
      <c r="A7" s="73" t="s">
        <v>256</v>
      </c>
      <c r="B7" s="74">
        <v>7981206.28</v>
      </c>
      <c r="C7" s="74">
        <v>2664945.935</v>
      </c>
      <c r="D7" s="74">
        <v>10646152.215</v>
      </c>
      <c r="E7" s="79" t="s">
        <v>255</v>
      </c>
    </row>
    <row r="8" spans="1:5">
      <c r="A8" s="75" t="s">
        <v>257</v>
      </c>
      <c r="B8" s="76">
        <v>7869195.503</v>
      </c>
      <c r="C8" s="76">
        <v>2627662.124</v>
      </c>
      <c r="D8" s="76">
        <v>10496857.627</v>
      </c>
      <c r="E8" s="80" t="s">
        <v>255</v>
      </c>
    </row>
    <row r="9" spans="1:5">
      <c r="A9" s="73" t="s">
        <v>258</v>
      </c>
      <c r="B9" s="74">
        <v>7861821.785</v>
      </c>
      <c r="C9" s="74">
        <v>2578456.29</v>
      </c>
      <c r="D9" s="74">
        <v>10440278.075</v>
      </c>
      <c r="E9" s="79" t="s">
        <v>255</v>
      </c>
    </row>
    <row r="10" spans="1:5">
      <c r="A10" s="75" t="s">
        <v>259</v>
      </c>
      <c r="B10" s="76">
        <v>7721916.892</v>
      </c>
      <c r="C10" s="76">
        <v>2580372.894</v>
      </c>
      <c r="D10" s="76">
        <v>10302289.786</v>
      </c>
      <c r="E10" s="80" t="s">
        <v>255</v>
      </c>
    </row>
    <row r="11" spans="1:5">
      <c r="A11" s="73" t="s">
        <v>260</v>
      </c>
      <c r="B11" s="74">
        <v>7688694.244</v>
      </c>
      <c r="C11" s="74">
        <v>2556717.233</v>
      </c>
      <c r="D11" s="74">
        <v>10245411.477</v>
      </c>
      <c r="E11" s="79" t="s">
        <v>255</v>
      </c>
    </row>
    <row r="12" spans="1:5">
      <c r="A12" s="75" t="s">
        <v>152</v>
      </c>
      <c r="B12" s="76">
        <v>7635305.071</v>
      </c>
      <c r="C12" s="76">
        <v>2500837.401</v>
      </c>
      <c r="D12" s="76">
        <v>10136142.472</v>
      </c>
      <c r="E12" s="80" t="s">
        <v>255</v>
      </c>
    </row>
    <row r="13" spans="1:5">
      <c r="A13" s="73" t="s">
        <v>261</v>
      </c>
      <c r="B13" s="74">
        <v>7546764.365</v>
      </c>
      <c r="C13" s="74">
        <v>2455791.411</v>
      </c>
      <c r="D13" s="74">
        <v>10002555.776</v>
      </c>
      <c r="E13" s="79" t="s">
        <v>255</v>
      </c>
    </row>
    <row r="14" spans="1:5">
      <c r="A14" s="75" t="s">
        <v>262</v>
      </c>
      <c r="B14" s="76">
        <v>7551750.302</v>
      </c>
      <c r="C14" s="76">
        <v>2445317.214</v>
      </c>
      <c r="D14" s="76">
        <v>9997067.516</v>
      </c>
      <c r="E14" s="80" t="s">
        <v>255</v>
      </c>
    </row>
    <row r="15" spans="1:5">
      <c r="A15" s="73" t="s">
        <v>263</v>
      </c>
      <c r="B15" s="74">
        <v>7617255.615</v>
      </c>
      <c r="C15" s="74">
        <v>2451320.473</v>
      </c>
      <c r="D15" s="74">
        <v>10068576.088</v>
      </c>
      <c r="E15" s="79" t="s">
        <v>255</v>
      </c>
    </row>
    <row r="16" spans="1:5">
      <c r="A16" s="75" t="s">
        <v>264</v>
      </c>
      <c r="B16" s="76">
        <v>7570020.563</v>
      </c>
      <c r="C16" s="76">
        <v>2433495.815</v>
      </c>
      <c r="D16" s="76">
        <v>10003516.378</v>
      </c>
      <c r="E16" s="80" t="s">
        <v>255</v>
      </c>
    </row>
    <row r="17" spans="1:5">
      <c r="A17" s="73" t="s">
        <v>265</v>
      </c>
      <c r="B17" s="74">
        <v>7577126.273</v>
      </c>
      <c r="C17" s="74">
        <v>2464434.154</v>
      </c>
      <c r="D17" s="74">
        <v>10041560.427</v>
      </c>
      <c r="E17" s="79" t="s">
        <v>255</v>
      </c>
    </row>
    <row r="18" spans="1:5">
      <c r="A18" s="75" t="s">
        <v>150</v>
      </c>
      <c r="B18" s="76">
        <v>7650101.444</v>
      </c>
      <c r="C18" s="76">
        <v>2508279.951</v>
      </c>
      <c r="D18" s="76">
        <v>10158381.395</v>
      </c>
      <c r="E18" s="80" t="s">
        <v>255</v>
      </c>
    </row>
    <row r="19" spans="1:5">
      <c r="A19" s="73" t="s">
        <v>266</v>
      </c>
      <c r="B19" s="74">
        <v>7635305.071</v>
      </c>
      <c r="C19" s="74">
        <v>2500837.401</v>
      </c>
      <c r="D19" s="74">
        <v>10136142.472</v>
      </c>
      <c r="E19" s="79" t="s">
        <v>267</v>
      </c>
    </row>
    <row r="20" spans="1:5">
      <c r="A20" s="75" t="s">
        <v>268</v>
      </c>
      <c r="B20" s="76">
        <v>7489982.206</v>
      </c>
      <c r="C20" s="76">
        <v>2417825.776</v>
      </c>
      <c r="D20" s="76">
        <v>9907807.982</v>
      </c>
      <c r="E20" s="80" t="s">
        <v>267</v>
      </c>
    </row>
    <row r="21" spans="1:5">
      <c r="A21" s="73" t="s">
        <v>269</v>
      </c>
      <c r="B21" s="74">
        <v>7627950.886</v>
      </c>
      <c r="C21" s="74">
        <v>2563364.555</v>
      </c>
      <c r="D21" s="74">
        <v>10191315.441</v>
      </c>
      <c r="E21" s="79" t="s">
        <v>267</v>
      </c>
    </row>
    <row r="22" spans="1:5">
      <c r="A22" s="75" t="s">
        <v>270</v>
      </c>
      <c r="B22" s="76">
        <v>7710340.602</v>
      </c>
      <c r="C22" s="76">
        <v>2860957.143</v>
      </c>
      <c r="D22" s="76">
        <v>10571297.745</v>
      </c>
      <c r="E22" s="80" t="s">
        <v>267</v>
      </c>
    </row>
    <row r="23" spans="1:5">
      <c r="A23" s="73" t="s">
        <v>271</v>
      </c>
      <c r="B23" s="74">
        <v>7712295.503</v>
      </c>
      <c r="C23" s="74">
        <v>3180851.767</v>
      </c>
      <c r="D23" s="74">
        <v>10893147.27</v>
      </c>
      <c r="E23" s="79" t="s">
        <v>267</v>
      </c>
    </row>
  </sheetData>
  <autoFilter xmlns:etc="http://www.wps.cn/officeDocument/2017/etCustomData" ref="A4:E24" etc:filterBottomFollowUsedRange="0">
    <extLst/>
  </autoFilter>
  <pageMargins left="0.75" right="0.75" top="1" bottom="1" header="0.5" footer="0.5"/>
  <pageSetup paperSize="1" orientation="landscape"/>
  <headerFooter>
    <oddFooter>&amp;RA HKMA 1.2  ·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A8B99"/>
    <pageSetUpPr fitToPage="1"/>
  </sheetPr>
  <dimension ref="A1:K96"/>
  <sheetViews>
    <sheetView workbookViewId="0">
      <pane ySplit="4" topLeftCell="A11" activePane="bottomLeft" state="frozen"/>
      <selection/>
      <selection pane="bottomLeft" activeCell="A1" sqref="A1"/>
    </sheetView>
  </sheetViews>
  <sheetFormatPr defaultColWidth="9" defaultRowHeight="16.8"/>
  <cols>
    <col min="1" max="1" width="14" customWidth="1"/>
    <col min="2" max="3" width="18" customWidth="1"/>
    <col min="4" max="4" width="20" customWidth="1"/>
    <col min="5" max="6" width="18" customWidth="1"/>
    <col min="7" max="7" width="20" customWidth="1"/>
    <col min="8" max="8" width="18" customWidth="1"/>
    <col min="9" max="10" width="16" customWidth="1"/>
    <col min="11" max="11" width="12" customWidth="1"/>
  </cols>
  <sheetData>
    <row r="1" ht="143" spans="1:11">
      <c r="A1" s="70" t="s">
        <v>272</v>
      </c>
    </row>
    <row r="2" ht="177" spans="1:11">
      <c r="A2" s="71" t="s">
        <v>273</v>
      </c>
    </row>
    <row r="4" ht="31" spans="1:11">
      <c r="A4" s="72" t="s">
        <v>134</v>
      </c>
      <c r="B4" s="72" t="s">
        <v>274</v>
      </c>
      <c r="C4" s="72" t="s">
        <v>275</v>
      </c>
      <c r="D4" s="72" t="s">
        <v>276</v>
      </c>
      <c r="E4" s="72" t="s">
        <v>277</v>
      </c>
      <c r="F4" s="72" t="s">
        <v>278</v>
      </c>
      <c r="G4" s="72" t="s">
        <v>279</v>
      </c>
      <c r="H4" s="72" t="s">
        <v>137</v>
      </c>
      <c r="I4" s="72" t="s">
        <v>138</v>
      </c>
      <c r="J4" s="72" t="s">
        <v>139</v>
      </c>
      <c r="K4" s="72" t="s">
        <v>140</v>
      </c>
    </row>
    <row r="5" spans="1:11">
      <c r="A5" s="73" t="s">
        <v>254</v>
      </c>
      <c r="B5" s="74">
        <v>56511.102</v>
      </c>
      <c r="C5" s="74">
        <v>193800.707</v>
      </c>
      <c r="D5" s="74">
        <v>250311.809</v>
      </c>
      <c r="E5" s="74">
        <v>13053.365</v>
      </c>
      <c r="F5" s="74">
        <v>158463.417</v>
      </c>
      <c r="G5" s="74">
        <v>171516.782</v>
      </c>
      <c r="H5" s="74">
        <f t="shared" ref="H5:H68" si="0">D5+G5</f>
        <v>421828.591</v>
      </c>
      <c r="I5" s="74">
        <f t="shared" ref="I5:I68" si="1">B5+E5</f>
        <v>69564.467</v>
      </c>
      <c r="J5" s="74">
        <f t="shared" ref="J5:J68" si="2">C5+F5</f>
        <v>352264.124</v>
      </c>
      <c r="K5" s="77">
        <f t="shared" ref="K5:K68" si="3">IF(H5=0,NA(),J5/H5)</f>
        <v>0.835088307231408</v>
      </c>
    </row>
    <row r="6" spans="1:11">
      <c r="A6" s="75" t="s">
        <v>154</v>
      </c>
      <c r="B6" s="76">
        <v>57111.395</v>
      </c>
      <c r="C6" s="76">
        <v>205705.762</v>
      </c>
      <c r="D6" s="76">
        <v>262817.157</v>
      </c>
      <c r="E6" s="76">
        <v>12780.198</v>
      </c>
      <c r="F6" s="76">
        <v>160491.836</v>
      </c>
      <c r="G6" s="76">
        <v>173272.034</v>
      </c>
      <c r="H6" s="76">
        <f t="shared" si="0"/>
        <v>436089.191</v>
      </c>
      <c r="I6" s="76">
        <f t="shared" si="1"/>
        <v>69891.593</v>
      </c>
      <c r="J6" s="76">
        <f t="shared" si="2"/>
        <v>366197.598</v>
      </c>
      <c r="K6" s="78">
        <f t="shared" si="3"/>
        <v>0.839730966870032</v>
      </c>
    </row>
    <row r="7" spans="1:11">
      <c r="A7" s="73" t="s">
        <v>256</v>
      </c>
      <c r="B7" s="74">
        <v>57013.091</v>
      </c>
      <c r="C7" s="74">
        <v>186630.306</v>
      </c>
      <c r="D7" s="74">
        <v>243643.397</v>
      </c>
      <c r="E7" s="74">
        <v>12466.324</v>
      </c>
      <c r="F7" s="74">
        <v>158653.296</v>
      </c>
      <c r="G7" s="74">
        <v>171119.62</v>
      </c>
      <c r="H7" s="74">
        <f t="shared" si="0"/>
        <v>414763.017</v>
      </c>
      <c r="I7" s="74">
        <f t="shared" si="1"/>
        <v>69479.415</v>
      </c>
      <c r="J7" s="74">
        <f t="shared" si="2"/>
        <v>345283.602</v>
      </c>
      <c r="K7" s="77">
        <f t="shared" si="3"/>
        <v>0.832484064026374</v>
      </c>
    </row>
    <row r="8" spans="1:11">
      <c r="A8" s="75" t="s">
        <v>257</v>
      </c>
      <c r="B8" s="76">
        <v>59126.986</v>
      </c>
      <c r="C8" s="76">
        <v>173799.623</v>
      </c>
      <c r="D8" s="76">
        <v>232926.609</v>
      </c>
      <c r="E8" s="76">
        <v>11984.01</v>
      </c>
      <c r="F8" s="76">
        <v>160556.361</v>
      </c>
      <c r="G8" s="76">
        <v>172540.371</v>
      </c>
      <c r="H8" s="76">
        <f t="shared" si="0"/>
        <v>405466.98</v>
      </c>
      <c r="I8" s="76">
        <f t="shared" si="1"/>
        <v>71110.996</v>
      </c>
      <c r="J8" s="76">
        <f t="shared" si="2"/>
        <v>334355.984</v>
      </c>
      <c r="K8" s="78">
        <f t="shared" si="3"/>
        <v>0.824619514023065</v>
      </c>
    </row>
    <row r="9" spans="1:11">
      <c r="A9" s="73" t="s">
        <v>258</v>
      </c>
      <c r="B9" s="74">
        <v>59339.624</v>
      </c>
      <c r="C9" s="74">
        <v>182422.148</v>
      </c>
      <c r="D9" s="74">
        <v>241761.772</v>
      </c>
      <c r="E9" s="74">
        <v>11972.022</v>
      </c>
      <c r="F9" s="74">
        <v>167767.316</v>
      </c>
      <c r="G9" s="74">
        <v>179739.338</v>
      </c>
      <c r="H9" s="74">
        <f t="shared" si="0"/>
        <v>421501.11</v>
      </c>
      <c r="I9" s="74">
        <f t="shared" si="1"/>
        <v>71311.646</v>
      </c>
      <c r="J9" s="74">
        <f t="shared" si="2"/>
        <v>350189.464</v>
      </c>
      <c r="K9" s="77">
        <f t="shared" si="3"/>
        <v>0.830815045777697</v>
      </c>
    </row>
    <row r="10" spans="1:11">
      <c r="A10" s="75" t="s">
        <v>259</v>
      </c>
      <c r="B10" s="76">
        <v>58040.729</v>
      </c>
      <c r="C10" s="76">
        <v>172201.211</v>
      </c>
      <c r="D10" s="76">
        <v>230241.94</v>
      </c>
      <c r="E10" s="76">
        <v>13041.727</v>
      </c>
      <c r="F10" s="76">
        <v>126050.452</v>
      </c>
      <c r="G10" s="76">
        <v>139092.179</v>
      </c>
      <c r="H10" s="76">
        <f t="shared" si="0"/>
        <v>369334.119</v>
      </c>
      <c r="I10" s="76">
        <f t="shared" si="1"/>
        <v>71082.456</v>
      </c>
      <c r="J10" s="76">
        <f t="shared" si="2"/>
        <v>298251.663</v>
      </c>
      <c r="K10" s="78">
        <f t="shared" si="3"/>
        <v>0.807538885948417</v>
      </c>
    </row>
    <row r="11" spans="1:11">
      <c r="A11" s="73" t="s">
        <v>260</v>
      </c>
      <c r="B11" s="74">
        <v>58057.961</v>
      </c>
      <c r="C11" s="74">
        <v>166061.314</v>
      </c>
      <c r="D11" s="74">
        <v>224119.275</v>
      </c>
      <c r="E11" s="74">
        <v>13924.763</v>
      </c>
      <c r="F11" s="74">
        <v>121553.739</v>
      </c>
      <c r="G11" s="74">
        <v>135478.502</v>
      </c>
      <c r="H11" s="74">
        <f t="shared" si="0"/>
        <v>359597.777</v>
      </c>
      <c r="I11" s="74">
        <f t="shared" si="1"/>
        <v>71982.724</v>
      </c>
      <c r="J11" s="74">
        <f t="shared" si="2"/>
        <v>287615.053</v>
      </c>
      <c r="K11" s="77">
        <f t="shared" si="3"/>
        <v>0.799824335399048</v>
      </c>
    </row>
    <row r="12" spans="1:11">
      <c r="A12" s="75" t="s">
        <v>152</v>
      </c>
      <c r="B12" s="76">
        <v>55987.338</v>
      </c>
      <c r="C12" s="76">
        <v>186177.144</v>
      </c>
      <c r="D12" s="76">
        <v>242164.482</v>
      </c>
      <c r="E12" s="76">
        <v>14415.68</v>
      </c>
      <c r="F12" s="76">
        <v>134200.049</v>
      </c>
      <c r="G12" s="76">
        <v>148615.729</v>
      </c>
      <c r="H12" s="76">
        <f t="shared" si="0"/>
        <v>390780.211</v>
      </c>
      <c r="I12" s="76">
        <f t="shared" si="1"/>
        <v>70403.018</v>
      </c>
      <c r="J12" s="76">
        <f t="shared" si="2"/>
        <v>320377.193</v>
      </c>
      <c r="K12" s="78">
        <f t="shared" si="3"/>
        <v>0.819839858779338</v>
      </c>
    </row>
    <row r="13" spans="1:11">
      <c r="A13" s="73" t="s">
        <v>261</v>
      </c>
      <c r="B13" s="74">
        <v>58570.371</v>
      </c>
      <c r="C13" s="74">
        <v>154966.043</v>
      </c>
      <c r="D13" s="74">
        <v>213536.414</v>
      </c>
      <c r="E13" s="74">
        <v>13974.943</v>
      </c>
      <c r="F13" s="74">
        <v>116204.607</v>
      </c>
      <c r="G13" s="74">
        <v>130179.55</v>
      </c>
      <c r="H13" s="74">
        <f t="shared" si="0"/>
        <v>343715.964</v>
      </c>
      <c r="I13" s="74">
        <f t="shared" si="1"/>
        <v>72545.314</v>
      </c>
      <c r="J13" s="74">
        <f t="shared" si="2"/>
        <v>271170.65</v>
      </c>
      <c r="K13" s="77">
        <f t="shared" si="3"/>
        <v>0.788938188509627</v>
      </c>
    </row>
    <row r="14" spans="1:11">
      <c r="A14" s="75" t="s">
        <v>262</v>
      </c>
      <c r="B14" s="76">
        <v>57795.635</v>
      </c>
      <c r="C14" s="76">
        <v>153915.665</v>
      </c>
      <c r="D14" s="76">
        <v>211711.3</v>
      </c>
      <c r="E14" s="76">
        <v>14483.044</v>
      </c>
      <c r="F14" s="76">
        <v>113621.162</v>
      </c>
      <c r="G14" s="76">
        <v>128104.206</v>
      </c>
      <c r="H14" s="76">
        <f t="shared" si="0"/>
        <v>339815.506</v>
      </c>
      <c r="I14" s="76">
        <f t="shared" si="1"/>
        <v>72278.679</v>
      </c>
      <c r="J14" s="76">
        <f t="shared" si="2"/>
        <v>267536.827</v>
      </c>
      <c r="K14" s="78">
        <f t="shared" si="3"/>
        <v>0.787300232850469</v>
      </c>
    </row>
    <row r="15" spans="1:11">
      <c r="A15" s="73" t="s">
        <v>263</v>
      </c>
      <c r="B15" s="74">
        <v>61251.15</v>
      </c>
      <c r="C15" s="74">
        <v>166019.305</v>
      </c>
      <c r="D15" s="74">
        <v>227270.455</v>
      </c>
      <c r="E15" s="74">
        <v>15221.531</v>
      </c>
      <c r="F15" s="74">
        <v>131263.175</v>
      </c>
      <c r="G15" s="74">
        <v>146484.706</v>
      </c>
      <c r="H15" s="74">
        <f t="shared" si="0"/>
        <v>373755.161</v>
      </c>
      <c r="I15" s="74">
        <f t="shared" si="1"/>
        <v>76472.681</v>
      </c>
      <c r="J15" s="74">
        <f t="shared" si="2"/>
        <v>297282.48</v>
      </c>
      <c r="K15" s="77">
        <f t="shared" si="3"/>
        <v>0.795393645413769</v>
      </c>
    </row>
    <row r="16" spans="1:11">
      <c r="A16" s="75" t="s">
        <v>264</v>
      </c>
      <c r="B16" s="76">
        <v>64970.17</v>
      </c>
      <c r="C16" s="76">
        <v>148628.359</v>
      </c>
      <c r="D16" s="76">
        <v>213598.529</v>
      </c>
      <c r="E16" s="76">
        <v>15025.371</v>
      </c>
      <c r="F16" s="76">
        <v>121429.411</v>
      </c>
      <c r="G16" s="76">
        <v>136454.782</v>
      </c>
      <c r="H16" s="76">
        <f t="shared" si="0"/>
        <v>350053.311</v>
      </c>
      <c r="I16" s="76">
        <f t="shared" si="1"/>
        <v>79995.541</v>
      </c>
      <c r="J16" s="76">
        <f t="shared" si="2"/>
        <v>270057.77</v>
      </c>
      <c r="K16" s="78">
        <f t="shared" si="3"/>
        <v>0.771476119533119</v>
      </c>
    </row>
    <row r="17" spans="1:11">
      <c r="A17" s="73" t="s">
        <v>265</v>
      </c>
      <c r="B17" s="74">
        <v>65997.963</v>
      </c>
      <c r="C17" s="74">
        <v>155758.695</v>
      </c>
      <c r="D17" s="74">
        <v>221756.658</v>
      </c>
      <c r="E17" s="74">
        <v>14073.304</v>
      </c>
      <c r="F17" s="74">
        <v>124333.809</v>
      </c>
      <c r="G17" s="74">
        <v>138407.113</v>
      </c>
      <c r="H17" s="74">
        <f t="shared" si="0"/>
        <v>360163.771</v>
      </c>
      <c r="I17" s="74">
        <f t="shared" si="1"/>
        <v>80071.267</v>
      </c>
      <c r="J17" s="74">
        <f t="shared" si="2"/>
        <v>280092.504</v>
      </c>
      <c r="K17" s="77">
        <f t="shared" si="3"/>
        <v>0.777680951147082</v>
      </c>
    </row>
    <row r="18" spans="1:11">
      <c r="A18" s="75" t="s">
        <v>150</v>
      </c>
      <c r="B18" s="76">
        <v>64711.344</v>
      </c>
      <c r="C18" s="76">
        <v>159163.174</v>
      </c>
      <c r="D18" s="76">
        <v>223874.518</v>
      </c>
      <c r="E18" s="76">
        <v>13226.637</v>
      </c>
      <c r="F18" s="76">
        <v>139122.727</v>
      </c>
      <c r="G18" s="76">
        <v>152349.364</v>
      </c>
      <c r="H18" s="76">
        <f t="shared" si="0"/>
        <v>376223.882</v>
      </c>
      <c r="I18" s="76">
        <f t="shared" si="1"/>
        <v>77937.981</v>
      </c>
      <c r="J18" s="76">
        <f t="shared" si="2"/>
        <v>298285.901</v>
      </c>
      <c r="K18" s="78">
        <f t="shared" si="3"/>
        <v>0.79284148420966</v>
      </c>
    </row>
    <row r="19" spans="1:11">
      <c r="A19" s="73" t="s">
        <v>280</v>
      </c>
      <c r="B19" s="74">
        <v>61112.11</v>
      </c>
      <c r="C19" s="74">
        <v>151717.505</v>
      </c>
      <c r="D19" s="74">
        <v>212829.615</v>
      </c>
      <c r="E19" s="74">
        <v>12028.665</v>
      </c>
      <c r="F19" s="74">
        <v>132515.007</v>
      </c>
      <c r="G19" s="74">
        <v>144543.672</v>
      </c>
      <c r="H19" s="74">
        <f t="shared" si="0"/>
        <v>357373.287</v>
      </c>
      <c r="I19" s="74">
        <f t="shared" si="1"/>
        <v>73140.775</v>
      </c>
      <c r="J19" s="74">
        <f t="shared" si="2"/>
        <v>284232.512</v>
      </c>
      <c r="K19" s="77">
        <f t="shared" si="3"/>
        <v>0.795337878737422</v>
      </c>
    </row>
    <row r="20" spans="1:11">
      <c r="A20" s="75" t="s">
        <v>281</v>
      </c>
      <c r="B20" s="76">
        <v>53341.848</v>
      </c>
      <c r="C20" s="76">
        <v>159144.003</v>
      </c>
      <c r="D20" s="76">
        <v>212485.851</v>
      </c>
      <c r="E20" s="76">
        <v>10841.517</v>
      </c>
      <c r="F20" s="76">
        <v>136949.693</v>
      </c>
      <c r="G20" s="76">
        <v>147791.21</v>
      </c>
      <c r="H20" s="76">
        <f t="shared" si="0"/>
        <v>360277.061</v>
      </c>
      <c r="I20" s="76">
        <f t="shared" si="1"/>
        <v>64183.365</v>
      </c>
      <c r="J20" s="76">
        <f t="shared" si="2"/>
        <v>296093.696</v>
      </c>
      <c r="K20" s="78">
        <f t="shared" si="3"/>
        <v>0.821849981728368</v>
      </c>
    </row>
    <row r="21" spans="1:11">
      <c r="A21" s="73" t="s">
        <v>282</v>
      </c>
      <c r="B21" s="74">
        <v>56311.861</v>
      </c>
      <c r="C21" s="74">
        <v>161132.049</v>
      </c>
      <c r="D21" s="74">
        <v>217443.91</v>
      </c>
      <c r="E21" s="74">
        <v>11223.075</v>
      </c>
      <c r="F21" s="74">
        <v>134816.5</v>
      </c>
      <c r="G21" s="74">
        <v>146039.575</v>
      </c>
      <c r="H21" s="74">
        <f t="shared" si="0"/>
        <v>363483.485</v>
      </c>
      <c r="I21" s="74">
        <f t="shared" si="1"/>
        <v>67534.936</v>
      </c>
      <c r="J21" s="74">
        <f t="shared" si="2"/>
        <v>295948.549</v>
      </c>
      <c r="K21" s="77">
        <f t="shared" si="3"/>
        <v>0.81420081300255</v>
      </c>
    </row>
    <row r="22" spans="1:11">
      <c r="A22" s="75" t="s">
        <v>283</v>
      </c>
      <c r="B22" s="76">
        <v>57427.109</v>
      </c>
      <c r="C22" s="76">
        <v>154829.001</v>
      </c>
      <c r="D22" s="76">
        <v>212256.11</v>
      </c>
      <c r="E22" s="76">
        <v>10886.342</v>
      </c>
      <c r="F22" s="76">
        <v>126181.717</v>
      </c>
      <c r="G22" s="76">
        <v>137068.059</v>
      </c>
      <c r="H22" s="76">
        <f t="shared" si="0"/>
        <v>349324.169</v>
      </c>
      <c r="I22" s="76">
        <f t="shared" si="1"/>
        <v>68313.451</v>
      </c>
      <c r="J22" s="76">
        <f t="shared" si="2"/>
        <v>281010.718</v>
      </c>
      <c r="K22" s="78">
        <f t="shared" si="3"/>
        <v>0.804441097804487</v>
      </c>
    </row>
    <row r="23" spans="1:11">
      <c r="A23" s="73" t="s">
        <v>284</v>
      </c>
      <c r="B23" s="74">
        <v>59217.889</v>
      </c>
      <c r="C23" s="74">
        <v>161830.942</v>
      </c>
      <c r="D23" s="74">
        <v>221048.831</v>
      </c>
      <c r="E23" s="74">
        <v>10925.43</v>
      </c>
      <c r="F23" s="74">
        <v>118416.307</v>
      </c>
      <c r="G23" s="74">
        <v>129341.737</v>
      </c>
      <c r="H23" s="74">
        <f t="shared" si="0"/>
        <v>350390.568</v>
      </c>
      <c r="I23" s="74">
        <f t="shared" si="1"/>
        <v>70143.319</v>
      </c>
      <c r="J23" s="74">
        <f t="shared" si="2"/>
        <v>280247.249</v>
      </c>
      <c r="K23" s="77">
        <f t="shared" si="3"/>
        <v>0.799813906520452</v>
      </c>
    </row>
    <row r="24" spans="1:11">
      <c r="A24" s="75" t="s">
        <v>148</v>
      </c>
      <c r="B24" s="76">
        <v>60444.762</v>
      </c>
      <c r="C24" s="76">
        <v>171303.015</v>
      </c>
      <c r="D24" s="76">
        <v>231747.777</v>
      </c>
      <c r="E24" s="76">
        <v>10821.36</v>
      </c>
      <c r="F24" s="76">
        <v>138673.731</v>
      </c>
      <c r="G24" s="76">
        <v>149495.091</v>
      </c>
      <c r="H24" s="76">
        <f t="shared" si="0"/>
        <v>381242.868</v>
      </c>
      <c r="I24" s="76">
        <f t="shared" si="1"/>
        <v>71266.122</v>
      </c>
      <c r="J24" s="76">
        <f t="shared" si="2"/>
        <v>309976.746</v>
      </c>
      <c r="K24" s="78">
        <f t="shared" si="3"/>
        <v>0.813068969987919</v>
      </c>
    </row>
    <row r="25" spans="1:11">
      <c r="A25" s="73" t="s">
        <v>285</v>
      </c>
      <c r="B25" s="74">
        <v>58225.174</v>
      </c>
      <c r="C25" s="74">
        <v>167502.226</v>
      </c>
      <c r="D25" s="74">
        <v>225727.4</v>
      </c>
      <c r="E25" s="74">
        <v>10975.627</v>
      </c>
      <c r="F25" s="74">
        <v>117258.527</v>
      </c>
      <c r="G25" s="74">
        <v>128234.154</v>
      </c>
      <c r="H25" s="74">
        <f t="shared" si="0"/>
        <v>353961.554</v>
      </c>
      <c r="I25" s="74">
        <f t="shared" si="1"/>
        <v>69200.801</v>
      </c>
      <c r="J25" s="74">
        <f t="shared" si="2"/>
        <v>284760.753</v>
      </c>
      <c r="K25" s="77">
        <f t="shared" si="3"/>
        <v>0.804496278711671</v>
      </c>
    </row>
    <row r="26" spans="1:11">
      <c r="A26" s="75" t="s">
        <v>286</v>
      </c>
      <c r="B26" s="76">
        <v>53125.466</v>
      </c>
      <c r="C26" s="76">
        <v>168650.103</v>
      </c>
      <c r="D26" s="76">
        <v>221775.569</v>
      </c>
      <c r="E26" s="76">
        <v>11953.223</v>
      </c>
      <c r="F26" s="76">
        <v>118580.685</v>
      </c>
      <c r="G26" s="76">
        <v>130533.908</v>
      </c>
      <c r="H26" s="76">
        <f t="shared" si="0"/>
        <v>352309.477</v>
      </c>
      <c r="I26" s="76">
        <f t="shared" si="1"/>
        <v>65078.689</v>
      </c>
      <c r="J26" s="76">
        <f t="shared" si="2"/>
        <v>287230.788</v>
      </c>
      <c r="K26" s="78">
        <f t="shared" si="3"/>
        <v>0.815279766090425</v>
      </c>
    </row>
    <row r="27" spans="1:11">
      <c r="A27" s="73" t="s">
        <v>287</v>
      </c>
      <c r="B27" s="74">
        <v>54183.494</v>
      </c>
      <c r="C27" s="74">
        <v>178170.497</v>
      </c>
      <c r="D27" s="74">
        <v>232353.991</v>
      </c>
      <c r="E27" s="74">
        <v>11487.851</v>
      </c>
      <c r="F27" s="74">
        <v>135016.875</v>
      </c>
      <c r="G27" s="74">
        <v>146504.726</v>
      </c>
      <c r="H27" s="74">
        <f t="shared" si="0"/>
        <v>378858.717</v>
      </c>
      <c r="I27" s="74">
        <f t="shared" si="1"/>
        <v>65671.345</v>
      </c>
      <c r="J27" s="74">
        <f t="shared" si="2"/>
        <v>313187.372</v>
      </c>
      <c r="K27" s="77">
        <f t="shared" si="3"/>
        <v>0.826660066000276</v>
      </c>
    </row>
    <row r="28" spans="1:11">
      <c r="A28" s="75" t="s">
        <v>288</v>
      </c>
      <c r="B28" s="76">
        <v>54820.921</v>
      </c>
      <c r="C28" s="76">
        <v>162403.391</v>
      </c>
      <c r="D28" s="76">
        <v>217224.312</v>
      </c>
      <c r="E28" s="76">
        <v>10827.844</v>
      </c>
      <c r="F28" s="76">
        <v>129784.538</v>
      </c>
      <c r="G28" s="76">
        <v>140612.382</v>
      </c>
      <c r="H28" s="76">
        <f t="shared" si="0"/>
        <v>357836.694</v>
      </c>
      <c r="I28" s="76">
        <f t="shared" si="1"/>
        <v>65648.765</v>
      </c>
      <c r="J28" s="76">
        <f t="shared" si="2"/>
        <v>292187.929</v>
      </c>
      <c r="K28" s="78">
        <f t="shared" si="3"/>
        <v>0.816539873912428</v>
      </c>
    </row>
    <row r="29" spans="1:11">
      <c r="A29" s="73" t="s">
        <v>289</v>
      </c>
      <c r="B29" s="74">
        <v>55729.204</v>
      </c>
      <c r="C29" s="74">
        <v>163394.912</v>
      </c>
      <c r="D29" s="74">
        <v>219124.116</v>
      </c>
      <c r="E29" s="74">
        <v>10952.601</v>
      </c>
      <c r="F29" s="74">
        <v>126369.627</v>
      </c>
      <c r="G29" s="74">
        <v>137322.228</v>
      </c>
      <c r="H29" s="74">
        <f t="shared" si="0"/>
        <v>356446.344</v>
      </c>
      <c r="I29" s="74">
        <f t="shared" si="1"/>
        <v>66681.805</v>
      </c>
      <c r="J29" s="74">
        <f t="shared" si="2"/>
        <v>289764.539</v>
      </c>
      <c r="K29" s="77">
        <f t="shared" si="3"/>
        <v>0.812926107610743</v>
      </c>
    </row>
    <row r="30" spans="1:11">
      <c r="A30" s="75" t="s">
        <v>290</v>
      </c>
      <c r="B30" s="76">
        <v>58432.998</v>
      </c>
      <c r="C30" s="76">
        <v>166430.846</v>
      </c>
      <c r="D30" s="76">
        <v>224863.844</v>
      </c>
      <c r="E30" s="76">
        <v>10905.167</v>
      </c>
      <c r="F30" s="76">
        <v>148838.623</v>
      </c>
      <c r="G30" s="76">
        <v>159743.79</v>
      </c>
      <c r="H30" s="76">
        <f t="shared" si="0"/>
        <v>384607.634</v>
      </c>
      <c r="I30" s="76">
        <f t="shared" si="1"/>
        <v>69338.165</v>
      </c>
      <c r="J30" s="76">
        <f t="shared" si="2"/>
        <v>315269.469</v>
      </c>
      <c r="K30" s="78">
        <f t="shared" si="3"/>
        <v>0.819717138011878</v>
      </c>
    </row>
    <row r="31" spans="1:11">
      <c r="A31" s="73" t="s">
        <v>291</v>
      </c>
      <c r="B31" s="74">
        <v>53304.318</v>
      </c>
      <c r="C31" s="74">
        <v>162578.631</v>
      </c>
      <c r="D31" s="74">
        <v>215882.949</v>
      </c>
      <c r="E31" s="74">
        <v>10081.311</v>
      </c>
      <c r="F31" s="74">
        <v>137214.776</v>
      </c>
      <c r="G31" s="74">
        <v>147296.087</v>
      </c>
      <c r="H31" s="74">
        <f t="shared" si="0"/>
        <v>363179.036</v>
      </c>
      <c r="I31" s="74">
        <f t="shared" si="1"/>
        <v>63385.629</v>
      </c>
      <c r="J31" s="74">
        <f t="shared" si="2"/>
        <v>299793.407</v>
      </c>
      <c r="K31" s="77">
        <f t="shared" si="3"/>
        <v>0.825470022449203</v>
      </c>
    </row>
    <row r="32" spans="1:11">
      <c r="A32" s="75" t="s">
        <v>292</v>
      </c>
      <c r="B32" s="76">
        <v>50488.022</v>
      </c>
      <c r="C32" s="76">
        <v>159151.519</v>
      </c>
      <c r="D32" s="76">
        <v>209639.541</v>
      </c>
      <c r="E32" s="76">
        <v>10029.671</v>
      </c>
      <c r="F32" s="76">
        <v>138045.889</v>
      </c>
      <c r="G32" s="76">
        <v>148075.56</v>
      </c>
      <c r="H32" s="76">
        <f t="shared" si="0"/>
        <v>357715.101</v>
      </c>
      <c r="I32" s="76">
        <f t="shared" si="1"/>
        <v>60517.693</v>
      </c>
      <c r="J32" s="76">
        <f t="shared" si="2"/>
        <v>297197.408</v>
      </c>
      <c r="K32" s="78">
        <f t="shared" si="3"/>
        <v>0.830821531350447</v>
      </c>
    </row>
    <row r="33" spans="1:11">
      <c r="A33" s="73" t="s">
        <v>293</v>
      </c>
      <c r="B33" s="74">
        <v>50032.608</v>
      </c>
      <c r="C33" s="74">
        <v>158729.043</v>
      </c>
      <c r="D33" s="74">
        <v>208761.651</v>
      </c>
      <c r="E33" s="74">
        <v>9955.31</v>
      </c>
      <c r="F33" s="74">
        <v>144030.267</v>
      </c>
      <c r="G33" s="74">
        <v>153985.577</v>
      </c>
      <c r="H33" s="74">
        <f t="shared" si="0"/>
        <v>362747.228</v>
      </c>
      <c r="I33" s="74">
        <f t="shared" si="1"/>
        <v>59987.918</v>
      </c>
      <c r="J33" s="74">
        <f t="shared" si="2"/>
        <v>302759.31</v>
      </c>
      <c r="K33" s="77">
        <f t="shared" si="3"/>
        <v>0.834628872753233</v>
      </c>
    </row>
    <row r="34" spans="1:11">
      <c r="A34" s="75" t="s">
        <v>294</v>
      </c>
      <c r="B34" s="76">
        <v>49507.756</v>
      </c>
      <c r="C34" s="76">
        <v>145318.711</v>
      </c>
      <c r="D34" s="76">
        <v>194826.467</v>
      </c>
      <c r="E34" s="76">
        <v>10106.391</v>
      </c>
      <c r="F34" s="76">
        <v>136678.006</v>
      </c>
      <c r="G34" s="76">
        <v>146784.397</v>
      </c>
      <c r="H34" s="76">
        <f t="shared" si="0"/>
        <v>341610.864</v>
      </c>
      <c r="I34" s="76">
        <f t="shared" si="1"/>
        <v>59614.147</v>
      </c>
      <c r="J34" s="76">
        <f t="shared" si="2"/>
        <v>281996.717</v>
      </c>
      <c r="K34" s="78">
        <f t="shared" si="3"/>
        <v>0.825491068106078</v>
      </c>
    </row>
    <row r="35" spans="1:11">
      <c r="A35" s="73" t="s">
        <v>295</v>
      </c>
      <c r="B35" s="74">
        <v>52179.225</v>
      </c>
      <c r="C35" s="74">
        <v>148054.782</v>
      </c>
      <c r="D35" s="74">
        <v>200234.007</v>
      </c>
      <c r="E35" s="74">
        <v>10016.579</v>
      </c>
      <c r="F35" s="74">
        <v>136700.011</v>
      </c>
      <c r="G35" s="74">
        <v>146716.59</v>
      </c>
      <c r="H35" s="74">
        <f t="shared" si="0"/>
        <v>346950.597</v>
      </c>
      <c r="I35" s="74">
        <f t="shared" si="1"/>
        <v>62195.804</v>
      </c>
      <c r="J35" s="74">
        <f t="shared" si="2"/>
        <v>284754.793</v>
      </c>
      <c r="K35" s="77">
        <f t="shared" si="3"/>
        <v>0.8207358496057</v>
      </c>
    </row>
    <row r="36" spans="1:11">
      <c r="A36" s="75" t="s">
        <v>146</v>
      </c>
      <c r="B36" s="76">
        <v>55411.698</v>
      </c>
      <c r="C36" s="76">
        <v>149701.379</v>
      </c>
      <c r="D36" s="76">
        <v>205113.077</v>
      </c>
      <c r="E36" s="76">
        <v>10577.562</v>
      </c>
      <c r="F36" s="76">
        <v>148935.23</v>
      </c>
      <c r="G36" s="76">
        <v>159512.792</v>
      </c>
      <c r="H36" s="76">
        <f t="shared" si="0"/>
        <v>364625.869</v>
      </c>
      <c r="I36" s="76">
        <f t="shared" si="1"/>
        <v>65989.26</v>
      </c>
      <c r="J36" s="76">
        <f t="shared" si="2"/>
        <v>298636.609</v>
      </c>
      <c r="K36" s="78">
        <f t="shared" si="3"/>
        <v>0.819022001425796</v>
      </c>
    </row>
    <row r="37" spans="1:11">
      <c r="A37" s="73" t="s">
        <v>296</v>
      </c>
      <c r="B37" s="74">
        <v>55308.959</v>
      </c>
      <c r="C37" s="74">
        <v>154583.687</v>
      </c>
      <c r="D37" s="74">
        <v>209892.646</v>
      </c>
      <c r="E37" s="74">
        <v>10718.634</v>
      </c>
      <c r="F37" s="74">
        <v>135149.251</v>
      </c>
      <c r="G37" s="74">
        <v>145867.885</v>
      </c>
      <c r="H37" s="74">
        <f t="shared" si="0"/>
        <v>355760.531</v>
      </c>
      <c r="I37" s="74">
        <f t="shared" si="1"/>
        <v>66027.593</v>
      </c>
      <c r="J37" s="74">
        <f t="shared" si="2"/>
        <v>289732.938</v>
      </c>
      <c r="K37" s="77">
        <f t="shared" si="3"/>
        <v>0.814404389339075</v>
      </c>
    </row>
    <row r="38" spans="1:11">
      <c r="A38" s="75" t="s">
        <v>297</v>
      </c>
      <c r="B38" s="76">
        <v>53861.015</v>
      </c>
      <c r="C38" s="76">
        <v>164674.777</v>
      </c>
      <c r="D38" s="76">
        <v>218535.792</v>
      </c>
      <c r="E38" s="76">
        <v>10955.049</v>
      </c>
      <c r="F38" s="76">
        <v>155934.093</v>
      </c>
      <c r="G38" s="76">
        <v>166889.142</v>
      </c>
      <c r="H38" s="76">
        <f t="shared" si="0"/>
        <v>385424.934</v>
      </c>
      <c r="I38" s="76">
        <f t="shared" si="1"/>
        <v>64816.064</v>
      </c>
      <c r="J38" s="76">
        <f t="shared" si="2"/>
        <v>320608.87</v>
      </c>
      <c r="K38" s="78">
        <f t="shared" si="3"/>
        <v>0.831832197965687</v>
      </c>
    </row>
    <row r="39" spans="1:11">
      <c r="A39" s="73" t="s">
        <v>298</v>
      </c>
      <c r="B39" s="74">
        <v>54532.973</v>
      </c>
      <c r="C39" s="74">
        <v>162500.037</v>
      </c>
      <c r="D39" s="74">
        <v>217033.01</v>
      </c>
      <c r="E39" s="74">
        <v>11158.058</v>
      </c>
      <c r="F39" s="74">
        <v>165818.557</v>
      </c>
      <c r="G39" s="74">
        <v>176976.615</v>
      </c>
      <c r="H39" s="74">
        <f t="shared" si="0"/>
        <v>394009.625</v>
      </c>
      <c r="I39" s="74">
        <f t="shared" si="1"/>
        <v>65691.031</v>
      </c>
      <c r="J39" s="74">
        <f t="shared" si="2"/>
        <v>328318.594</v>
      </c>
      <c r="K39" s="77">
        <f t="shared" si="3"/>
        <v>0.833275567824009</v>
      </c>
    </row>
    <row r="40" spans="1:11">
      <c r="A40" s="75" t="s">
        <v>299</v>
      </c>
      <c r="B40" s="76">
        <v>57791.827</v>
      </c>
      <c r="C40" s="76">
        <v>156577.057</v>
      </c>
      <c r="D40" s="76">
        <v>214368.884</v>
      </c>
      <c r="E40" s="76">
        <v>12033.163</v>
      </c>
      <c r="F40" s="76">
        <v>152544.742</v>
      </c>
      <c r="G40" s="76">
        <v>164577.905</v>
      </c>
      <c r="H40" s="76">
        <f t="shared" si="0"/>
        <v>378946.789</v>
      </c>
      <c r="I40" s="76">
        <f t="shared" si="1"/>
        <v>69824.99</v>
      </c>
      <c r="J40" s="76">
        <f t="shared" si="2"/>
        <v>309121.799</v>
      </c>
      <c r="K40" s="78">
        <f t="shared" si="3"/>
        <v>0.815739327982536</v>
      </c>
    </row>
    <row r="41" spans="1:11">
      <c r="A41" s="73" t="s">
        <v>300</v>
      </c>
      <c r="B41" s="74">
        <v>61172.964</v>
      </c>
      <c r="C41" s="74">
        <v>155542.653</v>
      </c>
      <c r="D41" s="74">
        <v>216715.617</v>
      </c>
      <c r="E41" s="74">
        <v>12635.743</v>
      </c>
      <c r="F41" s="74">
        <v>165856.704</v>
      </c>
      <c r="G41" s="74">
        <v>178492.447</v>
      </c>
      <c r="H41" s="74">
        <f t="shared" si="0"/>
        <v>395208.064</v>
      </c>
      <c r="I41" s="74">
        <f t="shared" si="1"/>
        <v>73808.707</v>
      </c>
      <c r="J41" s="74">
        <f t="shared" si="2"/>
        <v>321399.357</v>
      </c>
      <c r="K41" s="77">
        <f t="shared" si="3"/>
        <v>0.813240888222362</v>
      </c>
    </row>
    <row r="42" spans="1:11">
      <c r="A42" s="75" t="s">
        <v>301</v>
      </c>
      <c r="B42" s="76">
        <v>64502.142</v>
      </c>
      <c r="C42" s="76">
        <v>157052.047</v>
      </c>
      <c r="D42" s="76">
        <v>221554.189</v>
      </c>
      <c r="E42" s="76">
        <v>12758.153</v>
      </c>
      <c r="F42" s="76">
        <v>171539.913</v>
      </c>
      <c r="G42" s="76">
        <v>184298.066</v>
      </c>
      <c r="H42" s="76">
        <f t="shared" si="0"/>
        <v>405852.255</v>
      </c>
      <c r="I42" s="76">
        <f t="shared" si="1"/>
        <v>77260.295</v>
      </c>
      <c r="J42" s="76">
        <f t="shared" si="2"/>
        <v>328591.96</v>
      </c>
      <c r="K42" s="78">
        <f t="shared" si="3"/>
        <v>0.80963443211619</v>
      </c>
    </row>
    <row r="43" spans="1:11">
      <c r="A43" s="73" t="s">
        <v>302</v>
      </c>
      <c r="B43" s="74">
        <v>60430.93</v>
      </c>
      <c r="C43" s="74">
        <v>154573.248</v>
      </c>
      <c r="D43" s="74">
        <v>215004.178</v>
      </c>
      <c r="E43" s="74">
        <v>13529.318</v>
      </c>
      <c r="F43" s="74">
        <v>167447.877</v>
      </c>
      <c r="G43" s="74">
        <v>180977.195</v>
      </c>
      <c r="H43" s="74">
        <f t="shared" si="0"/>
        <v>395981.373</v>
      </c>
      <c r="I43" s="74">
        <f t="shared" si="1"/>
        <v>73960.248</v>
      </c>
      <c r="J43" s="74">
        <f t="shared" si="2"/>
        <v>322021.125</v>
      </c>
      <c r="K43" s="77">
        <f t="shared" si="3"/>
        <v>0.813222911371642</v>
      </c>
    </row>
    <row r="44" spans="1:11">
      <c r="A44" s="75" t="s">
        <v>303</v>
      </c>
      <c r="B44" s="76">
        <v>58587.772</v>
      </c>
      <c r="C44" s="76">
        <v>155383.886</v>
      </c>
      <c r="D44" s="76">
        <v>213971.658</v>
      </c>
      <c r="E44" s="76">
        <v>16933.223</v>
      </c>
      <c r="F44" s="76">
        <v>160603.675</v>
      </c>
      <c r="G44" s="76">
        <v>177536.898</v>
      </c>
      <c r="H44" s="76">
        <f t="shared" si="0"/>
        <v>391508.556</v>
      </c>
      <c r="I44" s="76">
        <f t="shared" si="1"/>
        <v>75520.995</v>
      </c>
      <c r="J44" s="76">
        <f t="shared" si="2"/>
        <v>315987.561</v>
      </c>
      <c r="K44" s="78">
        <f t="shared" si="3"/>
        <v>0.807102568149239</v>
      </c>
    </row>
    <row r="45" spans="1:11">
      <c r="A45" s="73" t="s">
        <v>304</v>
      </c>
      <c r="B45" s="74">
        <v>56122.065</v>
      </c>
      <c r="C45" s="74">
        <v>159230.393</v>
      </c>
      <c r="D45" s="74">
        <v>215352.458</v>
      </c>
      <c r="E45" s="74">
        <v>14349.711</v>
      </c>
      <c r="F45" s="74">
        <v>186117.654</v>
      </c>
      <c r="G45" s="74">
        <v>200467.365</v>
      </c>
      <c r="H45" s="74">
        <f t="shared" si="0"/>
        <v>415819.823</v>
      </c>
      <c r="I45" s="74">
        <f t="shared" si="1"/>
        <v>70471.776</v>
      </c>
      <c r="J45" s="74">
        <f t="shared" si="2"/>
        <v>345348.047</v>
      </c>
      <c r="K45" s="77">
        <f t="shared" si="3"/>
        <v>0.830523288929398</v>
      </c>
    </row>
    <row r="46" spans="1:11">
      <c r="A46" s="75" t="s">
        <v>305</v>
      </c>
      <c r="B46" s="76">
        <v>54649.651</v>
      </c>
      <c r="C46" s="76">
        <v>158334.971</v>
      </c>
      <c r="D46" s="76">
        <v>212984.622</v>
      </c>
      <c r="E46" s="76">
        <v>13818.923</v>
      </c>
      <c r="F46" s="76">
        <v>178535.273</v>
      </c>
      <c r="G46" s="76">
        <v>192354.196</v>
      </c>
      <c r="H46" s="76">
        <f t="shared" si="0"/>
        <v>405338.818</v>
      </c>
      <c r="I46" s="76">
        <f t="shared" si="1"/>
        <v>68468.574</v>
      </c>
      <c r="J46" s="76">
        <f t="shared" si="2"/>
        <v>336870.244</v>
      </c>
      <c r="K46" s="78">
        <f t="shared" si="3"/>
        <v>0.831083106380401</v>
      </c>
    </row>
    <row r="47" spans="1:11">
      <c r="A47" s="73" t="s">
        <v>306</v>
      </c>
      <c r="B47" s="74">
        <v>55047.143</v>
      </c>
      <c r="C47" s="74">
        <v>180452.367</v>
      </c>
      <c r="D47" s="74">
        <v>235499.51</v>
      </c>
      <c r="E47" s="74">
        <v>12366.937</v>
      </c>
      <c r="F47" s="74">
        <v>175895.584</v>
      </c>
      <c r="G47" s="74">
        <v>188262.521</v>
      </c>
      <c r="H47" s="74">
        <f t="shared" si="0"/>
        <v>423762.031</v>
      </c>
      <c r="I47" s="74">
        <f t="shared" si="1"/>
        <v>67414.08</v>
      </c>
      <c r="J47" s="74">
        <f t="shared" si="2"/>
        <v>356347.951</v>
      </c>
      <c r="K47" s="77">
        <f t="shared" si="3"/>
        <v>0.840915242356859</v>
      </c>
    </row>
    <row r="48" spans="1:11">
      <c r="A48" s="75" t="s">
        <v>144</v>
      </c>
      <c r="B48" s="76">
        <v>58068.637</v>
      </c>
      <c r="C48" s="76">
        <v>189414.864</v>
      </c>
      <c r="D48" s="76">
        <v>247483.501</v>
      </c>
      <c r="E48" s="76">
        <v>12622.642</v>
      </c>
      <c r="F48" s="76">
        <v>159585.632</v>
      </c>
      <c r="G48" s="76">
        <v>172208.274</v>
      </c>
      <c r="H48" s="76">
        <f t="shared" si="0"/>
        <v>419691.775</v>
      </c>
      <c r="I48" s="76">
        <f t="shared" si="1"/>
        <v>70691.279</v>
      </c>
      <c r="J48" s="76">
        <f t="shared" si="2"/>
        <v>349000.496</v>
      </c>
      <c r="K48" s="78">
        <f t="shared" si="3"/>
        <v>0.831563820854007</v>
      </c>
    </row>
    <row r="49" spans="1:11">
      <c r="A49" s="73" t="s">
        <v>307</v>
      </c>
      <c r="B49" s="74">
        <v>60707.421</v>
      </c>
      <c r="C49" s="74">
        <v>200749.556</v>
      </c>
      <c r="D49" s="74">
        <v>261456.977</v>
      </c>
      <c r="E49" s="74">
        <v>13780.466</v>
      </c>
      <c r="F49" s="74">
        <v>161477.438</v>
      </c>
      <c r="G49" s="74">
        <v>175257.904</v>
      </c>
      <c r="H49" s="74">
        <f t="shared" si="0"/>
        <v>436714.881</v>
      </c>
      <c r="I49" s="74">
        <f t="shared" si="1"/>
        <v>74487.887</v>
      </c>
      <c r="J49" s="74">
        <f t="shared" si="2"/>
        <v>362226.994</v>
      </c>
      <c r="K49" s="77">
        <f t="shared" si="3"/>
        <v>0.829435885423836</v>
      </c>
    </row>
    <row r="50" spans="1:11">
      <c r="A50" s="75" t="s">
        <v>308</v>
      </c>
      <c r="B50" s="76">
        <v>59465.878</v>
      </c>
      <c r="C50" s="76">
        <v>211244.915</v>
      </c>
      <c r="D50" s="76">
        <v>270710.793</v>
      </c>
      <c r="E50" s="76">
        <v>14077.672</v>
      </c>
      <c r="F50" s="76">
        <v>163598.448</v>
      </c>
      <c r="G50" s="76">
        <v>177676.12</v>
      </c>
      <c r="H50" s="76">
        <f t="shared" si="0"/>
        <v>448386.913</v>
      </c>
      <c r="I50" s="76">
        <f t="shared" si="1"/>
        <v>73543.55</v>
      </c>
      <c r="J50" s="76">
        <f t="shared" si="2"/>
        <v>374843.363</v>
      </c>
      <c r="K50" s="78">
        <f t="shared" si="3"/>
        <v>0.835981943567564</v>
      </c>
    </row>
    <row r="51" spans="1:11">
      <c r="A51" s="73" t="s">
        <v>309</v>
      </c>
      <c r="B51" s="74">
        <v>61525.478</v>
      </c>
      <c r="C51" s="74">
        <v>221899.967</v>
      </c>
      <c r="D51" s="74">
        <v>283425.445</v>
      </c>
      <c r="E51" s="74">
        <v>14787.581</v>
      </c>
      <c r="F51" s="74">
        <v>189545.385</v>
      </c>
      <c r="G51" s="74">
        <v>204332.966</v>
      </c>
      <c r="H51" s="74">
        <f t="shared" si="0"/>
        <v>487758.411</v>
      </c>
      <c r="I51" s="74">
        <f t="shared" si="1"/>
        <v>76313.059</v>
      </c>
      <c r="J51" s="74">
        <f t="shared" si="2"/>
        <v>411445.352</v>
      </c>
      <c r="K51" s="77">
        <f t="shared" si="3"/>
        <v>0.843543325386141</v>
      </c>
    </row>
    <row r="52" spans="1:11">
      <c r="A52" s="75" t="s">
        <v>310</v>
      </c>
      <c r="B52" s="76">
        <v>62941.856</v>
      </c>
      <c r="C52" s="76">
        <v>228711.831</v>
      </c>
      <c r="D52" s="76">
        <v>291653.687</v>
      </c>
      <c r="E52" s="76">
        <v>14017.195</v>
      </c>
      <c r="F52" s="76">
        <v>192199.288</v>
      </c>
      <c r="G52" s="76">
        <v>206216.483</v>
      </c>
      <c r="H52" s="76">
        <f t="shared" si="0"/>
        <v>497870.17</v>
      </c>
      <c r="I52" s="76">
        <f t="shared" si="1"/>
        <v>76959.051</v>
      </c>
      <c r="J52" s="76">
        <f t="shared" si="2"/>
        <v>420911.119</v>
      </c>
      <c r="K52" s="78">
        <f t="shared" si="3"/>
        <v>0.845423454472077</v>
      </c>
    </row>
    <row r="53" spans="1:11">
      <c r="A53" s="73" t="s">
        <v>311</v>
      </c>
      <c r="B53" s="74">
        <v>62875.79</v>
      </c>
      <c r="C53" s="74">
        <v>228461.736</v>
      </c>
      <c r="D53" s="74">
        <v>291337.526</v>
      </c>
      <c r="E53" s="74">
        <v>12397.564</v>
      </c>
      <c r="F53" s="74">
        <v>199716.729</v>
      </c>
      <c r="G53" s="74">
        <v>212114.293</v>
      </c>
      <c r="H53" s="74">
        <f t="shared" si="0"/>
        <v>503451.819</v>
      </c>
      <c r="I53" s="74">
        <f t="shared" si="1"/>
        <v>75273.354</v>
      </c>
      <c r="J53" s="74">
        <f t="shared" si="2"/>
        <v>428178.465</v>
      </c>
      <c r="K53" s="77">
        <f t="shared" si="3"/>
        <v>0.850485486079851</v>
      </c>
    </row>
    <row r="54" spans="1:11">
      <c r="A54" s="75" t="s">
        <v>312</v>
      </c>
      <c r="B54" s="76">
        <v>62952.61</v>
      </c>
      <c r="C54" s="76">
        <v>231663.694</v>
      </c>
      <c r="D54" s="76">
        <v>294616.304</v>
      </c>
      <c r="E54" s="76">
        <v>11549.728</v>
      </c>
      <c r="F54" s="76">
        <v>218172.434</v>
      </c>
      <c r="G54" s="76">
        <v>229722.162</v>
      </c>
      <c r="H54" s="76">
        <f t="shared" si="0"/>
        <v>524338.466</v>
      </c>
      <c r="I54" s="76">
        <f t="shared" si="1"/>
        <v>74502.338</v>
      </c>
      <c r="J54" s="76">
        <f t="shared" si="2"/>
        <v>449836.128</v>
      </c>
      <c r="K54" s="78">
        <f t="shared" si="3"/>
        <v>0.85791174435789</v>
      </c>
    </row>
    <row r="55" spans="1:11">
      <c r="A55" s="73" t="s">
        <v>313</v>
      </c>
      <c r="B55" s="74">
        <v>52457.301</v>
      </c>
      <c r="C55" s="74">
        <v>244666.252</v>
      </c>
      <c r="D55" s="74">
        <v>297123.553</v>
      </c>
      <c r="E55" s="74">
        <v>10467.148</v>
      </c>
      <c r="F55" s="74">
        <v>215948.357</v>
      </c>
      <c r="G55" s="74">
        <v>226415.505</v>
      </c>
      <c r="H55" s="74">
        <f t="shared" si="0"/>
        <v>523539.058</v>
      </c>
      <c r="I55" s="74">
        <f t="shared" si="1"/>
        <v>62924.449</v>
      </c>
      <c r="J55" s="74">
        <f t="shared" si="2"/>
        <v>460614.609</v>
      </c>
      <c r="K55" s="77">
        <f t="shared" si="3"/>
        <v>0.8798094468054</v>
      </c>
    </row>
    <row r="56" spans="1:11">
      <c r="A56" s="75" t="s">
        <v>314</v>
      </c>
      <c r="B56" s="76">
        <v>51009.942</v>
      </c>
      <c r="C56" s="76">
        <v>237669.546</v>
      </c>
      <c r="D56" s="76">
        <v>288679.488</v>
      </c>
      <c r="E56" s="76">
        <v>10844.44</v>
      </c>
      <c r="F56" s="76">
        <v>218803.026</v>
      </c>
      <c r="G56" s="76">
        <v>229647.466</v>
      </c>
      <c r="H56" s="76">
        <f t="shared" si="0"/>
        <v>518326.954</v>
      </c>
      <c r="I56" s="76">
        <f t="shared" si="1"/>
        <v>61854.382</v>
      </c>
      <c r="J56" s="76">
        <f t="shared" si="2"/>
        <v>456472.572</v>
      </c>
      <c r="K56" s="78">
        <f t="shared" si="3"/>
        <v>0.880665318439141</v>
      </c>
    </row>
    <row r="57" spans="1:11">
      <c r="A57" s="73" t="s">
        <v>315</v>
      </c>
      <c r="B57" s="74">
        <v>50857.197</v>
      </c>
      <c r="C57" s="74">
        <v>249568.753</v>
      </c>
      <c r="D57" s="74">
        <v>300425.95</v>
      </c>
      <c r="E57" s="74">
        <v>10651.246</v>
      </c>
      <c r="F57" s="74">
        <v>220407.651</v>
      </c>
      <c r="G57" s="74">
        <v>231058.897</v>
      </c>
      <c r="H57" s="74">
        <f t="shared" si="0"/>
        <v>531484.847</v>
      </c>
      <c r="I57" s="74">
        <f t="shared" si="1"/>
        <v>61508.443</v>
      </c>
      <c r="J57" s="74">
        <f t="shared" si="2"/>
        <v>469976.404</v>
      </c>
      <c r="K57" s="77">
        <f t="shared" si="3"/>
        <v>0.884270561339259</v>
      </c>
    </row>
    <row r="58" spans="1:11">
      <c r="A58" s="75" t="s">
        <v>316</v>
      </c>
      <c r="B58" s="76">
        <v>53271.381</v>
      </c>
      <c r="C58" s="76">
        <v>244641.237</v>
      </c>
      <c r="D58" s="76">
        <v>297912.618</v>
      </c>
      <c r="E58" s="76">
        <v>11537.969</v>
      </c>
      <c r="F58" s="76">
        <v>203702.145</v>
      </c>
      <c r="G58" s="76">
        <v>215240.114</v>
      </c>
      <c r="H58" s="76">
        <f t="shared" si="0"/>
        <v>513152.732</v>
      </c>
      <c r="I58" s="76">
        <f t="shared" si="1"/>
        <v>64809.35</v>
      </c>
      <c r="J58" s="76">
        <f t="shared" si="2"/>
        <v>448343.382</v>
      </c>
      <c r="K58" s="78">
        <f t="shared" si="3"/>
        <v>0.873703585777655</v>
      </c>
    </row>
    <row r="59" spans="1:11">
      <c r="A59" s="73" t="s">
        <v>317</v>
      </c>
      <c r="B59" s="74">
        <v>54485.945</v>
      </c>
      <c r="C59" s="74">
        <v>240976.375</v>
      </c>
      <c r="D59" s="74">
        <v>295462.32</v>
      </c>
      <c r="E59" s="74">
        <v>12529.213</v>
      </c>
      <c r="F59" s="74">
        <v>187093.95</v>
      </c>
      <c r="G59" s="74">
        <v>199623.163</v>
      </c>
      <c r="H59" s="74">
        <f t="shared" si="0"/>
        <v>495085.483</v>
      </c>
      <c r="I59" s="74">
        <f t="shared" si="1"/>
        <v>67015.158</v>
      </c>
      <c r="J59" s="74">
        <f t="shared" si="2"/>
        <v>428070.325</v>
      </c>
      <c r="K59" s="77">
        <f t="shared" si="3"/>
        <v>0.86463921827415</v>
      </c>
    </row>
    <row r="60" spans="1:11">
      <c r="A60" s="75" t="s">
        <v>142</v>
      </c>
      <c r="B60" s="76">
        <v>55055.337</v>
      </c>
      <c r="C60" s="76">
        <v>236330.956</v>
      </c>
      <c r="D60" s="76">
        <v>291386.293</v>
      </c>
      <c r="E60" s="76">
        <v>13888.557</v>
      </c>
      <c r="F60" s="76">
        <v>179755.395</v>
      </c>
      <c r="G60" s="76">
        <v>193643.952</v>
      </c>
      <c r="H60" s="76">
        <f t="shared" si="0"/>
        <v>485030.245</v>
      </c>
      <c r="I60" s="76">
        <f t="shared" si="1"/>
        <v>68943.894</v>
      </c>
      <c r="J60" s="76">
        <f t="shared" si="2"/>
        <v>416086.351</v>
      </c>
      <c r="K60" s="78">
        <f t="shared" si="3"/>
        <v>0.857856505422667</v>
      </c>
    </row>
    <row r="61" spans="1:11">
      <c r="A61" s="73" t="s">
        <v>318</v>
      </c>
      <c r="B61" s="74">
        <v>55433.771</v>
      </c>
      <c r="C61" s="74">
        <v>255359.805</v>
      </c>
      <c r="D61" s="74">
        <v>310793.576</v>
      </c>
      <c r="E61" s="74">
        <v>14063.287</v>
      </c>
      <c r="F61" s="74">
        <v>197948.6</v>
      </c>
      <c r="G61" s="74">
        <v>212011.887</v>
      </c>
      <c r="H61" s="74">
        <f t="shared" si="0"/>
        <v>522805.463</v>
      </c>
      <c r="I61" s="74">
        <f t="shared" si="1"/>
        <v>69497.058</v>
      </c>
      <c r="J61" s="74">
        <f t="shared" si="2"/>
        <v>453308.405</v>
      </c>
      <c r="K61" s="77">
        <f t="shared" si="3"/>
        <v>0.86706899044014</v>
      </c>
    </row>
    <row r="62" spans="1:11">
      <c r="A62" s="75" t="s">
        <v>319</v>
      </c>
      <c r="B62" s="76">
        <v>55316.24</v>
      </c>
      <c r="C62" s="76">
        <v>258907.466</v>
      </c>
      <c r="D62" s="76">
        <v>314223.706</v>
      </c>
      <c r="E62" s="76">
        <v>14173.728</v>
      </c>
      <c r="F62" s="76">
        <v>216884.622</v>
      </c>
      <c r="G62" s="76">
        <v>231058.35</v>
      </c>
      <c r="H62" s="76">
        <f t="shared" si="0"/>
        <v>545282.056</v>
      </c>
      <c r="I62" s="76">
        <f t="shared" si="1"/>
        <v>69489.968</v>
      </c>
      <c r="J62" s="76">
        <f t="shared" si="2"/>
        <v>475792.088</v>
      </c>
      <c r="K62" s="78">
        <f t="shared" si="3"/>
        <v>0.872561425347912</v>
      </c>
    </row>
    <row r="63" spans="1:11">
      <c r="A63" s="73" t="s">
        <v>320</v>
      </c>
      <c r="B63" s="74">
        <v>56318.741</v>
      </c>
      <c r="C63" s="74">
        <v>258476.709</v>
      </c>
      <c r="D63" s="74">
        <v>314795.45</v>
      </c>
      <c r="E63" s="74">
        <v>14116.003</v>
      </c>
      <c r="F63" s="74">
        <v>244113.346</v>
      </c>
      <c r="G63" s="74">
        <v>258229.349</v>
      </c>
      <c r="H63" s="74">
        <f t="shared" si="0"/>
        <v>573024.799</v>
      </c>
      <c r="I63" s="74">
        <f t="shared" si="1"/>
        <v>70434.744</v>
      </c>
      <c r="J63" s="74">
        <f t="shared" si="2"/>
        <v>502590.055</v>
      </c>
      <c r="K63" s="77">
        <f t="shared" si="3"/>
        <v>0.877082555374711</v>
      </c>
    </row>
    <row r="64" spans="1:11">
      <c r="A64" s="75" t="s">
        <v>321</v>
      </c>
      <c r="B64" s="76">
        <v>55750.712</v>
      </c>
      <c r="C64" s="76">
        <v>252687.761</v>
      </c>
      <c r="D64" s="76">
        <v>308438.473</v>
      </c>
      <c r="E64" s="76">
        <v>14062.811</v>
      </c>
      <c r="F64" s="76">
        <v>245920.037</v>
      </c>
      <c r="G64" s="76">
        <v>259982.848</v>
      </c>
      <c r="H64" s="76">
        <f t="shared" si="0"/>
        <v>568421.321</v>
      </c>
      <c r="I64" s="76">
        <f t="shared" si="1"/>
        <v>69813.523</v>
      </c>
      <c r="J64" s="76">
        <f t="shared" si="2"/>
        <v>498607.798</v>
      </c>
      <c r="K64" s="78">
        <f t="shared" si="3"/>
        <v>0.877179971227715</v>
      </c>
    </row>
    <row r="65" spans="1:11">
      <c r="A65" s="73" t="s">
        <v>322</v>
      </c>
      <c r="B65" s="74">
        <v>56726.437</v>
      </c>
      <c r="C65" s="74">
        <v>240766.58</v>
      </c>
      <c r="D65" s="74">
        <v>297493.017</v>
      </c>
      <c r="E65" s="74">
        <v>15163.934</v>
      </c>
      <c r="F65" s="74">
        <v>240031.18</v>
      </c>
      <c r="G65" s="74">
        <v>255195.114</v>
      </c>
      <c r="H65" s="74">
        <f t="shared" si="0"/>
        <v>552688.131</v>
      </c>
      <c r="I65" s="74">
        <f t="shared" si="1"/>
        <v>71890.371</v>
      </c>
      <c r="J65" s="74">
        <f t="shared" si="2"/>
        <v>480797.76</v>
      </c>
      <c r="K65" s="77">
        <f t="shared" si="3"/>
        <v>0.869925972772518</v>
      </c>
    </row>
    <row r="66" spans="1:11">
      <c r="A66" s="75" t="s">
        <v>323</v>
      </c>
      <c r="B66" s="76">
        <v>57539.876</v>
      </c>
      <c r="C66" s="76">
        <v>241645.095</v>
      </c>
      <c r="D66" s="76">
        <v>299184.971</v>
      </c>
      <c r="E66" s="76">
        <v>16438.555</v>
      </c>
      <c r="F66" s="76">
        <v>227520.243</v>
      </c>
      <c r="G66" s="76">
        <v>243958.798</v>
      </c>
      <c r="H66" s="76">
        <f t="shared" si="0"/>
        <v>543143.769</v>
      </c>
      <c r="I66" s="76">
        <f t="shared" si="1"/>
        <v>73978.431</v>
      </c>
      <c r="J66" s="76">
        <f t="shared" si="2"/>
        <v>469165.338</v>
      </c>
      <c r="K66" s="78">
        <f t="shared" si="3"/>
        <v>0.86379585807234</v>
      </c>
    </row>
    <row r="67" spans="1:11">
      <c r="A67" s="73" t="s">
        <v>324</v>
      </c>
      <c r="B67" s="74">
        <v>53557.203</v>
      </c>
      <c r="C67" s="74">
        <v>216425.177</v>
      </c>
      <c r="D67" s="74">
        <v>269982.38</v>
      </c>
      <c r="E67" s="74">
        <v>17306.817</v>
      </c>
      <c r="F67" s="74">
        <v>207521.762</v>
      </c>
      <c r="G67" s="74">
        <v>224828.579</v>
      </c>
      <c r="H67" s="74">
        <f t="shared" si="0"/>
        <v>494810.959</v>
      </c>
      <c r="I67" s="74">
        <f t="shared" si="1"/>
        <v>70864.02</v>
      </c>
      <c r="J67" s="74">
        <f t="shared" si="2"/>
        <v>423946.939</v>
      </c>
      <c r="K67" s="77">
        <f t="shared" si="3"/>
        <v>0.856785669939052</v>
      </c>
    </row>
    <row r="68" spans="1:11">
      <c r="A68" s="75" t="s">
        <v>325</v>
      </c>
      <c r="B68" s="76">
        <v>52217.201</v>
      </c>
      <c r="C68" s="76">
        <v>206580.426</v>
      </c>
      <c r="D68" s="76">
        <v>258797.627</v>
      </c>
      <c r="E68" s="76">
        <v>19005.976</v>
      </c>
      <c r="F68" s="76">
        <v>196020.621</v>
      </c>
      <c r="G68" s="76">
        <v>215026.597</v>
      </c>
      <c r="H68" s="76">
        <f t="shared" si="0"/>
        <v>473824.224</v>
      </c>
      <c r="I68" s="76">
        <f t="shared" si="1"/>
        <v>71223.177</v>
      </c>
      <c r="J68" s="76">
        <f t="shared" si="2"/>
        <v>402601.047</v>
      </c>
      <c r="K68" s="78">
        <f t="shared" si="3"/>
        <v>0.849684390555769</v>
      </c>
    </row>
    <row r="69" spans="1:11">
      <c r="A69" s="73" t="s">
        <v>326</v>
      </c>
      <c r="B69" s="74">
        <v>52390.223</v>
      </c>
      <c r="C69" s="74">
        <v>208314.817</v>
      </c>
      <c r="D69" s="74">
        <v>260705.04</v>
      </c>
      <c r="E69" s="74">
        <v>20802.266</v>
      </c>
      <c r="F69" s="74">
        <v>179561.958</v>
      </c>
      <c r="G69" s="74">
        <v>200364.224</v>
      </c>
      <c r="H69" s="74">
        <f t="shared" ref="H69:H96" si="4">D69+G69</f>
        <v>461069.264</v>
      </c>
      <c r="I69" s="74">
        <f t="shared" ref="I69:I96" si="5">B69+E69</f>
        <v>73192.489</v>
      </c>
      <c r="J69" s="74">
        <f t="shared" ref="J69:J96" si="6">C69+F69</f>
        <v>387876.775</v>
      </c>
      <c r="K69" s="77">
        <f t="shared" ref="K69:K96" si="7">IF(H69=0,NA(),J69/H69)</f>
        <v>0.841254894405627</v>
      </c>
    </row>
    <row r="70" spans="1:11">
      <c r="A70" s="75" t="s">
        <v>327</v>
      </c>
      <c r="B70" s="76">
        <v>54507.171</v>
      </c>
      <c r="C70" s="76">
        <v>195111.931</v>
      </c>
      <c r="D70" s="76">
        <v>249619.102</v>
      </c>
      <c r="E70" s="76">
        <v>19003.559</v>
      </c>
      <c r="F70" s="76">
        <v>173804.465</v>
      </c>
      <c r="G70" s="76">
        <v>192808.024</v>
      </c>
      <c r="H70" s="76">
        <f t="shared" si="4"/>
        <v>442427.126</v>
      </c>
      <c r="I70" s="76">
        <f t="shared" si="5"/>
        <v>73510.73</v>
      </c>
      <c r="J70" s="76">
        <f t="shared" si="6"/>
        <v>368916.396</v>
      </c>
      <c r="K70" s="78">
        <f t="shared" si="7"/>
        <v>0.8338466932066</v>
      </c>
    </row>
    <row r="71" spans="1:11">
      <c r="A71" s="73" t="s">
        <v>328</v>
      </c>
      <c r="B71" s="74">
        <v>55403.265</v>
      </c>
      <c r="C71" s="74">
        <v>189823.89</v>
      </c>
      <c r="D71" s="74">
        <v>245227.155</v>
      </c>
      <c r="E71" s="74">
        <v>19175.137</v>
      </c>
      <c r="F71" s="74">
        <v>169798.902</v>
      </c>
      <c r="G71" s="74">
        <v>188974.039</v>
      </c>
      <c r="H71" s="74">
        <f t="shared" si="4"/>
        <v>434201.194</v>
      </c>
      <c r="I71" s="74">
        <f t="shared" si="5"/>
        <v>74578.402</v>
      </c>
      <c r="J71" s="74">
        <f t="shared" si="6"/>
        <v>359622.792</v>
      </c>
      <c r="K71" s="77">
        <f t="shared" si="7"/>
        <v>0.828239988672164</v>
      </c>
    </row>
    <row r="72" spans="1:11">
      <c r="A72" s="75" t="s">
        <v>329</v>
      </c>
      <c r="B72" s="76">
        <v>55943.259</v>
      </c>
      <c r="C72" s="76">
        <v>191560.494</v>
      </c>
      <c r="D72" s="76">
        <v>247503.753</v>
      </c>
      <c r="E72" s="76">
        <v>19221.263</v>
      </c>
      <c r="F72" s="76">
        <v>158076.353</v>
      </c>
      <c r="G72" s="76">
        <v>177297.616</v>
      </c>
      <c r="H72" s="76">
        <f t="shared" si="4"/>
        <v>424801.369</v>
      </c>
      <c r="I72" s="76">
        <f t="shared" si="5"/>
        <v>75164.522</v>
      </c>
      <c r="J72" s="76">
        <f t="shared" si="6"/>
        <v>349636.847</v>
      </c>
      <c r="K72" s="78">
        <f t="shared" si="7"/>
        <v>0.823059605064502</v>
      </c>
    </row>
    <row r="73" spans="1:11">
      <c r="A73" s="73" t="s">
        <v>330</v>
      </c>
      <c r="B73" s="74">
        <v>55456.448</v>
      </c>
      <c r="C73" s="74">
        <v>194415.126</v>
      </c>
      <c r="D73" s="74">
        <v>249871.574</v>
      </c>
      <c r="E73" s="74">
        <v>20193.436</v>
      </c>
      <c r="F73" s="74">
        <v>185118.653</v>
      </c>
      <c r="G73" s="74">
        <v>205312.089</v>
      </c>
      <c r="H73" s="74">
        <f t="shared" si="4"/>
        <v>455183.663</v>
      </c>
      <c r="I73" s="74">
        <f t="shared" si="5"/>
        <v>75649.884</v>
      </c>
      <c r="J73" s="74">
        <f t="shared" si="6"/>
        <v>379533.779</v>
      </c>
      <c r="K73" s="77">
        <f t="shared" si="7"/>
        <v>0.833803604678141</v>
      </c>
    </row>
    <row r="74" spans="1:11">
      <c r="A74" s="75" t="s">
        <v>331</v>
      </c>
      <c r="B74" s="76">
        <v>57055.645</v>
      </c>
      <c r="C74" s="76">
        <v>196459.19</v>
      </c>
      <c r="D74" s="76">
        <v>253514.835</v>
      </c>
      <c r="E74" s="76">
        <v>19520.123</v>
      </c>
      <c r="F74" s="76">
        <v>185789.484</v>
      </c>
      <c r="G74" s="76">
        <v>205309.607</v>
      </c>
      <c r="H74" s="76">
        <f t="shared" si="4"/>
        <v>458824.442</v>
      </c>
      <c r="I74" s="76">
        <f t="shared" si="5"/>
        <v>76575.768</v>
      </c>
      <c r="J74" s="76">
        <f t="shared" si="6"/>
        <v>382248.674</v>
      </c>
      <c r="K74" s="78">
        <f t="shared" si="7"/>
        <v>0.83310442733563</v>
      </c>
    </row>
    <row r="75" spans="1:11">
      <c r="A75" s="73" t="s">
        <v>332</v>
      </c>
      <c r="B75" s="74">
        <v>58174.556</v>
      </c>
      <c r="C75" s="74">
        <v>199347.001</v>
      </c>
      <c r="D75" s="74">
        <v>257521.557</v>
      </c>
      <c r="E75" s="74">
        <v>20210.453</v>
      </c>
      <c r="F75" s="74">
        <v>179487.261</v>
      </c>
      <c r="G75" s="74">
        <v>199697.714</v>
      </c>
      <c r="H75" s="74">
        <f t="shared" si="4"/>
        <v>457219.271</v>
      </c>
      <c r="I75" s="74">
        <f t="shared" si="5"/>
        <v>78385.009</v>
      </c>
      <c r="J75" s="74">
        <f t="shared" si="6"/>
        <v>378834.262</v>
      </c>
      <c r="K75" s="77">
        <f t="shared" si="7"/>
        <v>0.828561449676954</v>
      </c>
    </row>
    <row r="76" spans="1:11">
      <c r="A76" s="75" t="s">
        <v>333</v>
      </c>
      <c r="B76" s="76">
        <v>58956.026</v>
      </c>
      <c r="C76" s="76">
        <v>194839.015</v>
      </c>
      <c r="D76" s="76">
        <v>253795.041</v>
      </c>
      <c r="E76" s="76">
        <v>20604.744</v>
      </c>
      <c r="F76" s="76">
        <v>189888.295</v>
      </c>
      <c r="G76" s="76">
        <v>210493.039</v>
      </c>
      <c r="H76" s="76">
        <f t="shared" si="4"/>
        <v>464288.08</v>
      </c>
      <c r="I76" s="76">
        <f t="shared" si="5"/>
        <v>79560.77</v>
      </c>
      <c r="J76" s="76">
        <f t="shared" si="6"/>
        <v>384727.31</v>
      </c>
      <c r="K76" s="78">
        <f t="shared" si="7"/>
        <v>0.828639214687571</v>
      </c>
    </row>
    <row r="77" spans="1:11">
      <c r="A77" s="73" t="s">
        <v>334</v>
      </c>
      <c r="B77" s="74">
        <v>60847.687</v>
      </c>
      <c r="C77" s="74">
        <v>195285.674</v>
      </c>
      <c r="D77" s="74">
        <v>256133.361</v>
      </c>
      <c r="E77" s="74">
        <v>19571.396</v>
      </c>
      <c r="F77" s="74">
        <v>193935.485</v>
      </c>
      <c r="G77" s="74">
        <v>213506.881</v>
      </c>
      <c r="H77" s="74">
        <f t="shared" si="4"/>
        <v>469640.242</v>
      </c>
      <c r="I77" s="74">
        <f t="shared" si="5"/>
        <v>80419.083</v>
      </c>
      <c r="J77" s="74">
        <f t="shared" si="6"/>
        <v>389221.159</v>
      </c>
      <c r="K77" s="77">
        <f t="shared" si="7"/>
        <v>0.828764497144604</v>
      </c>
    </row>
    <row r="78" spans="1:11">
      <c r="A78" s="75" t="s">
        <v>335</v>
      </c>
      <c r="B78" s="76">
        <v>61583.037</v>
      </c>
      <c r="C78" s="76">
        <v>201102.945</v>
      </c>
      <c r="D78" s="76">
        <v>262685.982</v>
      </c>
      <c r="E78" s="76">
        <v>17372.681</v>
      </c>
      <c r="F78" s="76">
        <v>194429.388</v>
      </c>
      <c r="G78" s="76">
        <v>211802.069</v>
      </c>
      <c r="H78" s="76">
        <f t="shared" si="4"/>
        <v>474488.051</v>
      </c>
      <c r="I78" s="76">
        <f t="shared" si="5"/>
        <v>78955.718</v>
      </c>
      <c r="J78" s="76">
        <f t="shared" si="6"/>
        <v>395532.333</v>
      </c>
      <c r="K78" s="78">
        <f t="shared" si="7"/>
        <v>0.8335980899127</v>
      </c>
    </row>
    <row r="79" spans="1:11">
      <c r="A79" s="73" t="s">
        <v>336</v>
      </c>
      <c r="B79" s="74">
        <v>63970.279</v>
      </c>
      <c r="C79" s="74">
        <v>199994.481</v>
      </c>
      <c r="D79" s="74">
        <v>263964.76</v>
      </c>
      <c r="E79" s="74">
        <v>17846.072</v>
      </c>
      <c r="F79" s="74">
        <v>198603.483</v>
      </c>
      <c r="G79" s="74">
        <v>216449.555</v>
      </c>
      <c r="H79" s="74">
        <f t="shared" si="4"/>
        <v>480414.315</v>
      </c>
      <c r="I79" s="74">
        <f t="shared" si="5"/>
        <v>81816.351</v>
      </c>
      <c r="J79" s="74">
        <f t="shared" si="6"/>
        <v>398597.964</v>
      </c>
      <c r="K79" s="77">
        <f t="shared" si="7"/>
        <v>0.829696267481122</v>
      </c>
    </row>
    <row r="80" spans="1:11">
      <c r="A80" s="75" t="s">
        <v>337</v>
      </c>
      <c r="B80" s="76">
        <v>63833.273</v>
      </c>
      <c r="C80" s="76">
        <v>203282.036</v>
      </c>
      <c r="D80" s="76">
        <v>267115.309</v>
      </c>
      <c r="E80" s="76">
        <v>15880.033</v>
      </c>
      <c r="F80" s="76">
        <v>204303.205</v>
      </c>
      <c r="G80" s="76">
        <v>220183.238</v>
      </c>
      <c r="H80" s="76">
        <f t="shared" si="4"/>
        <v>487298.547</v>
      </c>
      <c r="I80" s="76">
        <f t="shared" si="5"/>
        <v>79713.306</v>
      </c>
      <c r="J80" s="76">
        <f t="shared" si="6"/>
        <v>407585.241</v>
      </c>
      <c r="K80" s="78">
        <f t="shared" si="7"/>
        <v>0.836417928001743</v>
      </c>
    </row>
    <row r="81" spans="1:11">
      <c r="A81" s="73" t="s">
        <v>338</v>
      </c>
      <c r="B81" s="74">
        <v>64290.627</v>
      </c>
      <c r="C81" s="74">
        <v>209336.686</v>
      </c>
      <c r="D81" s="74">
        <v>273627.313</v>
      </c>
      <c r="E81" s="74">
        <v>14661.153</v>
      </c>
      <c r="F81" s="74">
        <v>192321.454</v>
      </c>
      <c r="G81" s="74">
        <v>206982.607</v>
      </c>
      <c r="H81" s="74">
        <f t="shared" si="4"/>
        <v>480609.92</v>
      </c>
      <c r="I81" s="74">
        <f t="shared" si="5"/>
        <v>78951.78</v>
      </c>
      <c r="J81" s="74">
        <f t="shared" si="6"/>
        <v>401658.14</v>
      </c>
      <c r="K81" s="77">
        <f t="shared" si="7"/>
        <v>0.8357258626705</v>
      </c>
    </row>
    <row r="82" spans="1:11">
      <c r="A82" s="75" t="s">
        <v>339</v>
      </c>
      <c r="B82" s="76">
        <v>65363.475</v>
      </c>
      <c r="C82" s="76">
        <v>195283.06</v>
      </c>
      <c r="D82" s="76">
        <v>260646.535</v>
      </c>
      <c r="E82" s="76">
        <v>16359.773</v>
      </c>
      <c r="F82" s="76">
        <v>185472.036</v>
      </c>
      <c r="G82" s="76">
        <v>201831.809</v>
      </c>
      <c r="H82" s="76">
        <f t="shared" si="4"/>
        <v>462478.344</v>
      </c>
      <c r="I82" s="76">
        <f t="shared" si="5"/>
        <v>81723.248</v>
      </c>
      <c r="J82" s="76">
        <f t="shared" si="6"/>
        <v>380755.096</v>
      </c>
      <c r="K82" s="78">
        <f t="shared" si="7"/>
        <v>0.823292811306209</v>
      </c>
    </row>
    <row r="83" spans="1:11">
      <c r="A83" s="73" t="s">
        <v>340</v>
      </c>
      <c r="B83" s="74">
        <v>68259.139</v>
      </c>
      <c r="C83" s="74">
        <v>188118.719</v>
      </c>
      <c r="D83" s="74">
        <v>256377.858</v>
      </c>
      <c r="E83" s="74">
        <v>19395.299</v>
      </c>
      <c r="F83" s="74">
        <v>168009.316</v>
      </c>
      <c r="G83" s="74">
        <v>187404.615</v>
      </c>
      <c r="H83" s="74">
        <f t="shared" si="4"/>
        <v>443782.473</v>
      </c>
      <c r="I83" s="74">
        <f t="shared" si="5"/>
        <v>87654.438</v>
      </c>
      <c r="J83" s="74">
        <f t="shared" si="6"/>
        <v>356128.035</v>
      </c>
      <c r="K83" s="77">
        <f t="shared" si="7"/>
        <v>0.802483326104679</v>
      </c>
    </row>
    <row r="84" spans="1:11">
      <c r="A84" s="75" t="s">
        <v>341</v>
      </c>
      <c r="B84" s="76">
        <v>71315.566</v>
      </c>
      <c r="C84" s="76">
        <v>199211.048</v>
      </c>
      <c r="D84" s="76">
        <v>270526.614</v>
      </c>
      <c r="E84" s="76">
        <v>22919.988</v>
      </c>
      <c r="F84" s="76">
        <v>159536.771</v>
      </c>
      <c r="G84" s="76">
        <v>182456.759</v>
      </c>
      <c r="H84" s="76">
        <f t="shared" si="4"/>
        <v>452983.373</v>
      </c>
      <c r="I84" s="76">
        <f t="shared" si="5"/>
        <v>94235.554</v>
      </c>
      <c r="J84" s="76">
        <f t="shared" si="6"/>
        <v>358747.819</v>
      </c>
      <c r="K84" s="78">
        <f t="shared" si="7"/>
        <v>0.791966858792409</v>
      </c>
    </row>
    <row r="85" spans="1:11">
      <c r="A85" s="73" t="s">
        <v>342</v>
      </c>
      <c r="B85" s="74">
        <v>69758.472</v>
      </c>
      <c r="C85" s="74">
        <v>207041.663</v>
      </c>
      <c r="D85" s="74">
        <v>276800.135</v>
      </c>
      <c r="E85" s="74">
        <v>22109.9</v>
      </c>
      <c r="F85" s="74">
        <v>177191.13</v>
      </c>
      <c r="G85" s="74">
        <v>199301.03</v>
      </c>
      <c r="H85" s="74">
        <f t="shared" si="4"/>
        <v>476101.165</v>
      </c>
      <c r="I85" s="74">
        <f t="shared" si="5"/>
        <v>91868.372</v>
      </c>
      <c r="J85" s="74">
        <f t="shared" si="6"/>
        <v>384232.793</v>
      </c>
      <c r="K85" s="77">
        <f t="shared" si="7"/>
        <v>0.8070402285195</v>
      </c>
    </row>
    <row r="86" spans="1:11">
      <c r="A86" s="75" t="s">
        <v>343</v>
      </c>
      <c r="B86" s="76">
        <v>73320.173</v>
      </c>
      <c r="C86" s="76">
        <v>205886.968</v>
      </c>
      <c r="D86" s="76">
        <v>279207.141</v>
      </c>
      <c r="E86" s="76">
        <v>22577.627</v>
      </c>
      <c r="F86" s="76">
        <v>184874.97</v>
      </c>
      <c r="G86" s="76">
        <v>207452.597</v>
      </c>
      <c r="H86" s="76">
        <f t="shared" si="4"/>
        <v>486659.738</v>
      </c>
      <c r="I86" s="76">
        <f t="shared" si="5"/>
        <v>95897.8</v>
      </c>
      <c r="J86" s="76">
        <f t="shared" si="6"/>
        <v>390761.938</v>
      </c>
      <c r="K86" s="78">
        <f t="shared" si="7"/>
        <v>0.802946920585405</v>
      </c>
    </row>
    <row r="87" spans="1:11">
      <c r="A87" s="73" t="s">
        <v>344</v>
      </c>
      <c r="B87" s="74">
        <v>74049.782</v>
      </c>
      <c r="C87" s="74">
        <v>201218.778</v>
      </c>
      <c r="D87" s="74">
        <v>275268.56</v>
      </c>
      <c r="E87" s="74">
        <v>22794.552</v>
      </c>
      <c r="F87" s="74">
        <v>195465.732</v>
      </c>
      <c r="G87" s="74">
        <v>218260.284</v>
      </c>
      <c r="H87" s="74">
        <f t="shared" si="4"/>
        <v>493528.844</v>
      </c>
      <c r="I87" s="74">
        <f t="shared" si="5"/>
        <v>96844.334</v>
      </c>
      <c r="J87" s="74">
        <f t="shared" si="6"/>
        <v>396684.51</v>
      </c>
      <c r="K87" s="77">
        <f t="shared" si="7"/>
        <v>0.803771683909928</v>
      </c>
    </row>
    <row r="88" spans="1:11">
      <c r="A88" s="75" t="s">
        <v>345</v>
      </c>
      <c r="B88" s="76">
        <v>76533.613</v>
      </c>
      <c r="C88" s="76">
        <v>199310.961</v>
      </c>
      <c r="D88" s="76">
        <v>275844.574</v>
      </c>
      <c r="E88" s="76">
        <v>23653.443</v>
      </c>
      <c r="F88" s="76">
        <v>189443.293</v>
      </c>
      <c r="G88" s="76">
        <v>213096.736</v>
      </c>
      <c r="H88" s="76">
        <f t="shared" si="4"/>
        <v>488941.31</v>
      </c>
      <c r="I88" s="76">
        <f t="shared" si="5"/>
        <v>100187.056</v>
      </c>
      <c r="J88" s="76">
        <f t="shared" si="6"/>
        <v>388754.254</v>
      </c>
      <c r="K88" s="78">
        <f t="shared" si="7"/>
        <v>0.795093901965453</v>
      </c>
    </row>
    <row r="89" spans="1:11">
      <c r="A89" s="73" t="s">
        <v>346</v>
      </c>
      <c r="B89" s="74">
        <v>77874.067</v>
      </c>
      <c r="C89" s="74">
        <v>204129.544</v>
      </c>
      <c r="D89" s="74">
        <v>282003.611</v>
      </c>
      <c r="E89" s="74">
        <v>23468.321</v>
      </c>
      <c r="F89" s="74">
        <v>183477.423</v>
      </c>
      <c r="G89" s="74">
        <v>206945.744</v>
      </c>
      <c r="H89" s="74">
        <f t="shared" si="4"/>
        <v>488949.355</v>
      </c>
      <c r="I89" s="74">
        <f t="shared" si="5"/>
        <v>101342.388</v>
      </c>
      <c r="J89" s="74">
        <f t="shared" si="6"/>
        <v>387606.967</v>
      </c>
      <c r="K89" s="77">
        <f t="shared" si="7"/>
        <v>0.792734386570568</v>
      </c>
    </row>
    <row r="90" spans="1:11">
      <c r="A90" s="75" t="s">
        <v>347</v>
      </c>
      <c r="B90" s="76">
        <v>79946.934</v>
      </c>
      <c r="C90" s="76">
        <v>212987.536</v>
      </c>
      <c r="D90" s="76">
        <v>292934.47</v>
      </c>
      <c r="E90" s="76">
        <v>24042.8</v>
      </c>
      <c r="F90" s="76">
        <v>185914.935</v>
      </c>
      <c r="G90" s="76">
        <v>209957.735</v>
      </c>
      <c r="H90" s="76">
        <f t="shared" si="4"/>
        <v>502892.205</v>
      </c>
      <c r="I90" s="76">
        <f t="shared" si="5"/>
        <v>103989.734</v>
      </c>
      <c r="J90" s="76">
        <f t="shared" si="6"/>
        <v>398902.471</v>
      </c>
      <c r="K90" s="78">
        <f t="shared" si="7"/>
        <v>0.793216651667926</v>
      </c>
    </row>
    <row r="91" spans="1:11">
      <c r="A91" s="73" t="s">
        <v>348</v>
      </c>
      <c r="B91" s="74">
        <v>75037.839</v>
      </c>
      <c r="C91" s="74">
        <v>217775.89</v>
      </c>
      <c r="D91" s="74">
        <v>292813.729</v>
      </c>
      <c r="E91" s="74">
        <v>22712.143</v>
      </c>
      <c r="F91" s="74">
        <v>187095.743</v>
      </c>
      <c r="G91" s="74">
        <v>209807.886</v>
      </c>
      <c r="H91" s="74">
        <f t="shared" si="4"/>
        <v>502621.615</v>
      </c>
      <c r="I91" s="74">
        <f t="shared" si="5"/>
        <v>97749.982</v>
      </c>
      <c r="J91" s="74">
        <f t="shared" si="6"/>
        <v>404871.633</v>
      </c>
      <c r="K91" s="77">
        <f t="shared" si="7"/>
        <v>0.805519740729813</v>
      </c>
    </row>
    <row r="92" spans="1:11">
      <c r="A92" s="75" t="s">
        <v>349</v>
      </c>
      <c r="B92" s="76">
        <v>73852.248</v>
      </c>
      <c r="C92" s="76">
        <v>218733.775</v>
      </c>
      <c r="D92" s="76">
        <v>292586.023</v>
      </c>
      <c r="E92" s="76">
        <v>21153.928</v>
      </c>
      <c r="F92" s="76">
        <v>170439.111</v>
      </c>
      <c r="G92" s="76">
        <v>191593.039</v>
      </c>
      <c r="H92" s="76">
        <f t="shared" si="4"/>
        <v>484179.062</v>
      </c>
      <c r="I92" s="76">
        <f t="shared" si="5"/>
        <v>95006.176</v>
      </c>
      <c r="J92" s="76">
        <f t="shared" si="6"/>
        <v>389172.886</v>
      </c>
      <c r="K92" s="78">
        <f t="shared" si="7"/>
        <v>0.803778842464691</v>
      </c>
    </row>
    <row r="93" spans="1:11">
      <c r="A93" s="73" t="s">
        <v>350</v>
      </c>
      <c r="B93" s="74">
        <v>75555.127</v>
      </c>
      <c r="C93" s="74">
        <v>221267.253</v>
      </c>
      <c r="D93" s="74">
        <v>296822.38</v>
      </c>
      <c r="E93" s="74">
        <v>20904.021</v>
      </c>
      <c r="F93" s="74">
        <v>169438.768</v>
      </c>
      <c r="G93" s="74">
        <v>190342.789</v>
      </c>
      <c r="H93" s="74">
        <f t="shared" si="4"/>
        <v>487165.169</v>
      </c>
      <c r="I93" s="74">
        <f t="shared" si="5"/>
        <v>96459.148</v>
      </c>
      <c r="J93" s="74">
        <f t="shared" si="6"/>
        <v>390706.021</v>
      </c>
      <c r="K93" s="77">
        <f t="shared" si="7"/>
        <v>0.801999087500445</v>
      </c>
    </row>
    <row r="94" spans="1:11">
      <c r="A94" s="75" t="s">
        <v>351</v>
      </c>
      <c r="B94" s="76">
        <v>73788.434</v>
      </c>
      <c r="C94" s="76">
        <v>212903.814</v>
      </c>
      <c r="D94" s="76">
        <v>286692.248</v>
      </c>
      <c r="E94" s="76">
        <v>18859.231</v>
      </c>
      <c r="F94" s="76">
        <v>172109.218</v>
      </c>
      <c r="G94" s="76">
        <v>190968.449</v>
      </c>
      <c r="H94" s="76">
        <f t="shared" si="4"/>
        <v>477660.697</v>
      </c>
      <c r="I94" s="76">
        <f t="shared" si="5"/>
        <v>92647.665</v>
      </c>
      <c r="J94" s="76">
        <f t="shared" si="6"/>
        <v>385013.032</v>
      </c>
      <c r="K94" s="78">
        <f t="shared" si="7"/>
        <v>0.806038751812984</v>
      </c>
    </row>
    <row r="95" spans="1:11">
      <c r="A95" s="73" t="s">
        <v>352</v>
      </c>
      <c r="B95" s="74">
        <v>74744.768</v>
      </c>
      <c r="C95" s="74">
        <v>213940.737</v>
      </c>
      <c r="D95" s="74">
        <v>288685.505</v>
      </c>
      <c r="E95" s="74">
        <v>17248.724</v>
      </c>
      <c r="F95" s="74">
        <v>168642.835</v>
      </c>
      <c r="G95" s="74">
        <v>185891.559</v>
      </c>
      <c r="H95" s="74">
        <f t="shared" si="4"/>
        <v>474577.064</v>
      </c>
      <c r="I95" s="74">
        <f t="shared" si="5"/>
        <v>91993.492</v>
      </c>
      <c r="J95" s="74">
        <f t="shared" si="6"/>
        <v>382583.572</v>
      </c>
      <c r="K95" s="77">
        <f t="shared" si="7"/>
        <v>0.806156894257326</v>
      </c>
    </row>
    <row r="96" spans="1:11">
      <c r="A96" s="75" t="s">
        <v>353</v>
      </c>
      <c r="B96" s="76">
        <v>74875.096</v>
      </c>
      <c r="C96" s="76">
        <v>202995.69</v>
      </c>
      <c r="D96" s="76">
        <v>277870.786</v>
      </c>
      <c r="E96" s="76">
        <v>12467.458</v>
      </c>
      <c r="F96" s="76">
        <v>165653.267</v>
      </c>
      <c r="G96" s="76">
        <v>178120.725</v>
      </c>
      <c r="H96" s="76">
        <f t="shared" si="4"/>
        <v>455991.511</v>
      </c>
      <c r="I96" s="76">
        <f t="shared" si="5"/>
        <v>87342.554</v>
      </c>
      <c r="J96" s="76">
        <f t="shared" si="6"/>
        <v>368648.957</v>
      </c>
      <c r="K96" s="78">
        <f t="shared" si="7"/>
        <v>0.808455745571983</v>
      </c>
    </row>
  </sheetData>
  <autoFilter xmlns:etc="http://www.wps.cn/officeDocument/2017/etCustomData" ref="A4:K96" etc:filterBottomFollowUsedRange="0">
    <extLst/>
  </autoFilter>
  <pageMargins left="0.75" right="0.75" top="1" bottom="1" header="0.5" footer="0.5"/>
  <pageSetup paperSize="1" orientation="landscape"/>
  <headerFooter>
    <oddFooter>&amp;RA HKMA 3.4.1  ·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A8B99"/>
    <pageSetUpPr fitToPage="1"/>
  </sheetPr>
  <dimension ref="A1:L12"/>
  <sheetViews>
    <sheetView workbookViewId="0">
      <selection activeCell="I1" sqref="I1"/>
    </sheetView>
  </sheetViews>
  <sheetFormatPr defaultColWidth="9" defaultRowHeight="16.8"/>
  <cols>
    <col min="1" max="1" width="14" customWidth="1"/>
    <col min="2" max="2" width="16" customWidth="1"/>
    <col min="3" max="3" width="22" customWidth="1"/>
    <col min="4" max="4" width="24" customWidth="1"/>
    <col min="5" max="6" width="18" customWidth="1"/>
    <col min="7" max="7" width="20" customWidth="1"/>
    <col min="8" max="8" width="16" customWidth="1"/>
    <col min="9" max="9" width="14" customWidth="1"/>
    <col min="10" max="10" width="16" customWidth="1"/>
    <col min="11" max="12" width="22" customWidth="1"/>
  </cols>
  <sheetData>
    <row r="1" ht="143" spans="1:12">
      <c r="A1" s="70" t="s">
        <v>354</v>
      </c>
    </row>
    <row r="2" ht="177" spans="1:12">
      <c r="A2" s="71" t="s">
        <v>355</v>
      </c>
    </row>
    <row r="3" ht="164" spans="1:12">
      <c r="A3" s="71" t="s">
        <v>356</v>
      </c>
    </row>
    <row r="5" ht="31" spans="1:12">
      <c r="A5" s="72" t="s">
        <v>134</v>
      </c>
      <c r="B5" s="72" t="s">
        <v>103</v>
      </c>
      <c r="C5" s="72" t="s">
        <v>357</v>
      </c>
      <c r="D5" s="72" t="s">
        <v>358</v>
      </c>
      <c r="E5" s="72" t="s">
        <v>359</v>
      </c>
      <c r="F5" s="72" t="s">
        <v>115</v>
      </c>
      <c r="G5" s="72" t="s">
        <v>360</v>
      </c>
      <c r="H5" s="72" t="s">
        <v>361</v>
      </c>
      <c r="I5" s="72" t="s">
        <v>124</v>
      </c>
      <c r="J5" s="72" t="s">
        <v>362</v>
      </c>
      <c r="K5" s="72" t="s">
        <v>363</v>
      </c>
      <c r="L5" s="72" t="s">
        <v>90</v>
      </c>
    </row>
    <row r="6" spans="1:12">
      <c r="A6" s="73" t="s">
        <v>154</v>
      </c>
      <c r="B6" s="74">
        <v>363633.971</v>
      </c>
      <c r="C6" s="74">
        <v>1313893.844</v>
      </c>
      <c r="D6" s="74">
        <v>1958342.695</v>
      </c>
      <c r="E6" s="74">
        <v>312060.828</v>
      </c>
      <c r="F6" s="74">
        <v>1032728.289</v>
      </c>
      <c r="G6" s="74">
        <v>794177.673</v>
      </c>
      <c r="H6" s="74">
        <v>331240.648</v>
      </c>
      <c r="I6" s="74">
        <v>228617.921</v>
      </c>
      <c r="J6" s="74">
        <v>215920.419</v>
      </c>
      <c r="K6" s="74">
        <v>7659001.764</v>
      </c>
      <c r="L6" s="74">
        <f t="shared" ref="L6:L12" si="0">C6+D6</f>
        <v>3272236.539</v>
      </c>
    </row>
    <row r="7" spans="1:12">
      <c r="A7" s="75" t="s">
        <v>258</v>
      </c>
      <c r="B7" s="76">
        <v>328188.241</v>
      </c>
      <c r="C7" s="76">
        <v>1339249.189</v>
      </c>
      <c r="D7" s="76">
        <v>1937565.885</v>
      </c>
      <c r="E7" s="76">
        <v>284551.075</v>
      </c>
      <c r="F7" s="76">
        <v>984139.371</v>
      </c>
      <c r="G7" s="76">
        <v>748476.799</v>
      </c>
      <c r="H7" s="76">
        <v>302874.135</v>
      </c>
      <c r="I7" s="76">
        <v>215874.986</v>
      </c>
      <c r="J7" s="76">
        <v>205053.452</v>
      </c>
      <c r="K7" s="76">
        <v>7440320.675</v>
      </c>
      <c r="L7" s="76">
        <f t="shared" si="0"/>
        <v>3276815.074</v>
      </c>
    </row>
    <row r="8" spans="1:12">
      <c r="A8" s="73" t="s">
        <v>152</v>
      </c>
      <c r="B8" s="74">
        <v>306596.643</v>
      </c>
      <c r="C8" s="74">
        <v>1372331.133</v>
      </c>
      <c r="D8" s="74">
        <v>1920476.489</v>
      </c>
      <c r="E8" s="74">
        <v>278886.353</v>
      </c>
      <c r="F8" s="74">
        <v>940367.197</v>
      </c>
      <c r="G8" s="74">
        <v>685669.347</v>
      </c>
      <c r="H8" s="74">
        <v>285580.505</v>
      </c>
      <c r="I8" s="74">
        <v>203059.652</v>
      </c>
      <c r="J8" s="74">
        <v>194690.003</v>
      </c>
      <c r="K8" s="74">
        <v>7244524.86</v>
      </c>
      <c r="L8" s="74">
        <f t="shared" si="0"/>
        <v>3292807.622</v>
      </c>
    </row>
    <row r="9" spans="1:12">
      <c r="A9" s="75" t="s">
        <v>263</v>
      </c>
      <c r="B9" s="76">
        <v>322774.747</v>
      </c>
      <c r="C9" s="76">
        <v>1388210.989</v>
      </c>
      <c r="D9" s="76">
        <v>1894346.998</v>
      </c>
      <c r="E9" s="76">
        <v>282430.925</v>
      </c>
      <c r="F9" s="76">
        <v>938125.018</v>
      </c>
      <c r="G9" s="76">
        <v>682089.887</v>
      </c>
      <c r="H9" s="76">
        <v>282034.28</v>
      </c>
      <c r="I9" s="76">
        <v>197962.547</v>
      </c>
      <c r="J9" s="76">
        <v>213416.254</v>
      </c>
      <c r="K9" s="76">
        <v>7243500.454</v>
      </c>
      <c r="L9" s="76">
        <f t="shared" si="0"/>
        <v>3282557.987</v>
      </c>
    </row>
    <row r="10" spans="1:12">
      <c r="A10" s="73" t="s">
        <v>150</v>
      </c>
      <c r="B10" s="74">
        <v>324870.771</v>
      </c>
      <c r="C10" s="74">
        <v>1445796.326</v>
      </c>
      <c r="D10" s="74">
        <v>1889329.495</v>
      </c>
      <c r="E10" s="74">
        <v>293650.494</v>
      </c>
      <c r="F10" s="74">
        <v>910454.89</v>
      </c>
      <c r="G10" s="74">
        <v>664951.664</v>
      </c>
      <c r="H10" s="74">
        <v>283977.699</v>
      </c>
      <c r="I10" s="74">
        <v>202849.75</v>
      </c>
      <c r="J10" s="74">
        <v>215013.888</v>
      </c>
      <c r="K10" s="74">
        <v>7273877.562</v>
      </c>
      <c r="L10" s="74">
        <f t="shared" si="0"/>
        <v>3335125.821</v>
      </c>
    </row>
    <row r="11" spans="1:12">
      <c r="A11" s="75" t="s">
        <v>282</v>
      </c>
      <c r="B11" s="76">
        <v>310084.314</v>
      </c>
      <c r="C11" s="76">
        <v>1446113.92</v>
      </c>
      <c r="D11" s="76">
        <v>1880587.64</v>
      </c>
      <c r="E11" s="76">
        <v>286619.036</v>
      </c>
      <c r="F11" s="76">
        <v>877063.119</v>
      </c>
      <c r="G11" s="76">
        <v>645367.026</v>
      </c>
      <c r="H11" s="76">
        <v>297595.199</v>
      </c>
      <c r="I11" s="76">
        <v>201060.377</v>
      </c>
      <c r="J11" s="76">
        <v>184154.223</v>
      </c>
      <c r="K11" s="76">
        <v>7164140.537</v>
      </c>
      <c r="L11" s="76">
        <f t="shared" si="0"/>
        <v>3326701.56</v>
      </c>
    </row>
    <row r="12" spans="1:12">
      <c r="A12" s="73" t="s">
        <v>148</v>
      </c>
      <c r="B12" s="74">
        <v>295132.542</v>
      </c>
      <c r="C12" s="74">
        <v>1488357.512</v>
      </c>
      <c r="D12" s="74">
        <v>1873532.467</v>
      </c>
      <c r="E12" s="74">
        <v>292621.661</v>
      </c>
      <c r="F12" s="74">
        <v>840262.485</v>
      </c>
      <c r="G12" s="74">
        <v>629430.801</v>
      </c>
      <c r="H12" s="74">
        <v>293659.304</v>
      </c>
      <c r="I12" s="74">
        <v>183124.301</v>
      </c>
      <c r="J12" s="74">
        <v>190847.019</v>
      </c>
      <c r="K12" s="74">
        <v>7108739.338</v>
      </c>
      <c r="L12" s="74">
        <f t="shared" si="0"/>
        <v>3361889.979</v>
      </c>
    </row>
  </sheetData>
  <autoFilter xmlns:etc="http://www.wps.cn/officeDocument/2017/etCustomData" ref="A5:L12" etc:filterBottomFollowUsedRange="0">
    <extLst/>
  </autoFilter>
  <pageMargins left="0.75" right="0.75" top="1" bottom="1" header="0.5" footer="0.5"/>
  <pageSetup paperSize="1" orientation="landscape"/>
  <headerFooter>
    <oddFooter>&amp;RA HKMA 3.5.1  ·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K89"/>
  <sheetViews>
    <sheetView showGridLines="0" tabSelected="1" zoomScale="85" zoomScaleNormal="85" workbookViewId="0">
      <pane xSplit="9" ySplit="11" topLeftCell="J12" activePane="bottomRight" state="frozen"/>
      <selection/>
      <selection pane="topRight"/>
      <selection pane="bottomLeft"/>
      <selection pane="bottomRight" activeCell="L12" sqref="L12"/>
    </sheetView>
  </sheetViews>
  <sheetFormatPr defaultColWidth="9.69230769230769" defaultRowHeight="16.8"/>
  <cols>
    <col min="1" max="3" width="9.84615384615385" style="3" hidden="1" customWidth="1" outlineLevel="1"/>
    <col min="4" max="4" width="3.07692307692308" style="3" customWidth="1" collapsed="1"/>
    <col min="5" max="5" width="9.84615384615385" style="3"/>
    <col min="6" max="6" width="66.7692307692308" style="3" customWidth="1"/>
    <col min="7" max="7" width="38.7692307692308" style="4" customWidth="1"/>
    <col min="8" max="8" width="16" style="3" customWidth="1"/>
    <col min="9" max="9" width="10.4615384615385" style="3" customWidth="1"/>
    <col min="10" max="11" width="16.3076923076923" style="3" hidden="1" customWidth="1" outlineLevel="1"/>
    <col min="12" max="12" width="16.3076923076923" style="3" customWidth="1" collapsed="1"/>
    <col min="13" max="14" width="13.0769230769231" style="3" hidden="1" customWidth="1" outlineLevel="1"/>
    <col min="15" max="15" width="16.9230769230769" style="3" customWidth="1" collapsed="1"/>
    <col min="16" max="17" width="16.9230769230769" style="3" hidden="1" customWidth="1" outlineLevel="1"/>
    <col min="18" max="18" width="16.9230769230769" style="3" customWidth="1" collapsed="1"/>
    <col min="19" max="20" width="16.9230769230769" style="3" hidden="1" customWidth="1" outlineLevel="1"/>
    <col min="21" max="21" width="16.9230769230769" style="3" customWidth="1" collapsed="1"/>
    <col min="22" max="23" width="16.9230769230769" style="3" hidden="1" customWidth="1" outlineLevel="1"/>
    <col min="24" max="24" width="16.9230769230769" style="3" customWidth="1" collapsed="1"/>
    <col min="25" max="26" width="16.9230769230769" style="3" hidden="1" customWidth="1" outlineLevel="1"/>
    <col min="27" max="27" width="16.9230769230769" style="3" customWidth="1" collapsed="1"/>
    <col min="28" max="29" width="16.9230769230769" style="3" hidden="1" customWidth="1" outlineLevel="1"/>
    <col min="30" max="30" width="16.9230769230769" style="3" customWidth="1" collapsed="1"/>
    <col min="31" max="32" width="16.9230769230769" style="3" hidden="1" customWidth="1" outlineLevel="1"/>
    <col min="33" max="33" width="16.9230769230769" style="3" customWidth="1" collapsed="1"/>
    <col min="34" max="35" width="16.9230769230769" style="3" hidden="1" customWidth="1" outlineLevel="1"/>
    <col min="36" max="36" width="16.9230769230769" style="3" customWidth="1" collapsed="1"/>
    <col min="37" max="38" width="16.9230769230769" style="3" hidden="1" customWidth="1" outlineLevel="1"/>
    <col min="39" max="39" width="16.9230769230769" style="3" customWidth="1" collapsed="1"/>
    <col min="40" max="41" width="16.9230769230769" style="3" hidden="1" customWidth="1" outlineLevel="1"/>
    <col min="42" max="42" width="16.9230769230769" style="3" customWidth="1" collapsed="1"/>
    <col min="43" max="44" width="16.9230769230769" style="3" hidden="1" customWidth="1" outlineLevel="1"/>
    <col min="45" max="45" width="16.9230769230769" style="3" customWidth="1" collapsed="1"/>
    <col min="46" max="47" width="16.9230769230769" style="3" hidden="1" customWidth="1" outlineLevel="1"/>
    <col min="48" max="48" width="16.9230769230769" style="3" customWidth="1" collapsed="1"/>
    <col min="49" max="50" width="16.9230769230769" style="3" hidden="1" customWidth="1" outlineLevel="1"/>
    <col min="51" max="51" width="16.9230769230769" style="3" customWidth="1" collapsed="1"/>
    <col min="52" max="53" width="16.9230769230769" style="3" hidden="1" customWidth="1" outlineLevel="1"/>
    <col min="54" max="54" width="16.9230769230769" style="3" customWidth="1" collapsed="1"/>
    <col min="55" max="56" width="16.9230769230769" style="3" hidden="1" customWidth="1" outlineLevel="1"/>
    <col min="57" max="57" width="16.9230769230769" style="3" customWidth="1" collapsed="1"/>
    <col min="58" max="59" width="16.9230769230769" style="3" hidden="1" customWidth="1" outlineLevel="1"/>
    <col min="60" max="60" width="16.9230769230769" style="3" customWidth="1" collapsed="1"/>
    <col min="61" max="62" width="16.9230769230769" style="3" hidden="1" customWidth="1" outlineLevel="1"/>
    <col min="63" max="63" width="16.9230769230769" style="3" customWidth="1" collapsed="1"/>
    <col min="64" max="16369" width="9.84615384615385" style="3"/>
    <col min="16370" max="16384" width="9.69230769230769" style="3"/>
  </cols>
  <sheetData>
    <row r="1" hidden="1" outlineLevel="1" spans="1:63">
      <c r="A1" s="5"/>
      <c r="B1" s="5"/>
      <c r="C1" s="5"/>
      <c r="E1" s="5"/>
      <c r="F1" s="5"/>
      <c r="G1" s="6"/>
      <c r="H1" s="7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</row>
    <row r="2" hidden="1" outlineLevel="1" spans="1:63">
      <c r="A2" s="5"/>
      <c r="B2" s="5"/>
      <c r="C2" s="5"/>
      <c r="E2" s="5"/>
      <c r="F2" s="5"/>
      <c r="G2" s="6"/>
      <c r="H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</row>
    <row r="3" hidden="1" outlineLevel="2" spans="1:63">
      <c r="A3" s="5"/>
      <c r="B3" s="5"/>
      <c r="C3" s="5"/>
      <c r="E3" s="5"/>
      <c r="F3" s="8" t="s">
        <v>364</v>
      </c>
      <c r="G3" s="6"/>
      <c r="H3" s="9">
        <v>1.2</v>
      </c>
      <c r="I3" s="10"/>
      <c r="J3" s="11" t="s">
        <v>254</v>
      </c>
      <c r="K3" s="11" t="s">
        <v>254</v>
      </c>
      <c r="L3" s="11" t="s">
        <v>254</v>
      </c>
      <c r="M3" s="11" t="str">
        <f>TEXT(EOMONTH(DATE(LEFT(L3,4),RIGHT(L3,2),1),-1),"yyyy-mm")</f>
        <v>2026-06</v>
      </c>
      <c r="N3" s="11" t="str">
        <f t="shared" ref="N3:R3" si="0">M3</f>
        <v>2026-06</v>
      </c>
      <c r="O3" s="11" t="str">
        <f t="shared" si="0"/>
        <v>2026-06</v>
      </c>
      <c r="P3" s="11" t="str">
        <f>TEXT(EOMONTH(DATE(LEFT(O3,4),RIGHT(O3,2),1),-1),"yyyy-mm")</f>
        <v>2026-05</v>
      </c>
      <c r="Q3" s="11" t="str">
        <f t="shared" si="0"/>
        <v>2026-05</v>
      </c>
      <c r="R3" s="11" t="str">
        <f t="shared" si="0"/>
        <v>2026-05</v>
      </c>
      <c r="S3" s="11" t="str">
        <f>TEXT(EOMONTH(DATE(LEFT(R3,4),RIGHT(R3,2),1),-1),"yyyy-mm")</f>
        <v>2026-04</v>
      </c>
      <c r="T3" s="11" t="str">
        <f t="shared" ref="T3:X3" si="1">S3</f>
        <v>2026-04</v>
      </c>
      <c r="U3" s="11" t="str">
        <f t="shared" si="1"/>
        <v>2026-04</v>
      </c>
      <c r="V3" s="11" t="str">
        <f>TEXT(EOMONTH(DATE(LEFT(U3,4),RIGHT(U3,2),1),-1),"yyyy-mm")</f>
        <v>2026-03</v>
      </c>
      <c r="W3" s="11" t="str">
        <f t="shared" si="1"/>
        <v>2026-03</v>
      </c>
      <c r="X3" s="11" t="str">
        <f t="shared" si="1"/>
        <v>2026-03</v>
      </c>
      <c r="Y3" s="11" t="str">
        <f>TEXT(EOMONTH(DATE(LEFT(X3,4),RIGHT(X3,2),1),-1),"yyyy-mm")</f>
        <v>2026-02</v>
      </c>
      <c r="Z3" s="11" t="str">
        <f t="shared" ref="Z3:AD3" si="2">Y3</f>
        <v>2026-02</v>
      </c>
      <c r="AA3" s="11" t="str">
        <f t="shared" si="2"/>
        <v>2026-02</v>
      </c>
      <c r="AB3" s="11" t="str">
        <f>TEXT(EOMONTH(DATE(LEFT(AA3,4),RIGHT(AA3,2),1),-1),"yyyy-mm")</f>
        <v>2026-01</v>
      </c>
      <c r="AC3" s="11" t="str">
        <f t="shared" si="2"/>
        <v>2026-01</v>
      </c>
      <c r="AD3" s="11" t="str">
        <f t="shared" si="2"/>
        <v>2026-01</v>
      </c>
      <c r="AE3" s="11" t="str">
        <f>TEXT(EOMONTH(DATE(LEFT(AD3,4),RIGHT(AD3,2),1),-1),"yyyy-mm")</f>
        <v>2025-12</v>
      </c>
      <c r="AF3" s="11" t="str">
        <f t="shared" ref="AF3:AJ3" si="3">AE3</f>
        <v>2025-12</v>
      </c>
      <c r="AG3" s="11" t="str">
        <f t="shared" si="3"/>
        <v>2025-12</v>
      </c>
      <c r="AH3" s="11" t="str">
        <f>TEXT(EOMONTH(DATE(LEFT(AG3,4),RIGHT(AG3,2),1),-1),"yyyy-mm")</f>
        <v>2025-11</v>
      </c>
      <c r="AI3" s="11" t="str">
        <f t="shared" si="3"/>
        <v>2025-11</v>
      </c>
      <c r="AJ3" s="11" t="str">
        <f t="shared" si="3"/>
        <v>2025-11</v>
      </c>
      <c r="AK3" s="11" t="str">
        <f>TEXT(EOMONTH(DATE(LEFT(AJ3,4),RIGHT(AJ3,2),1),-1),"yyyy-mm")</f>
        <v>2025-10</v>
      </c>
      <c r="AL3" s="11" t="str">
        <f t="shared" ref="AL3:AP3" si="4">AK3</f>
        <v>2025-10</v>
      </c>
      <c r="AM3" s="11" t="str">
        <f t="shared" si="4"/>
        <v>2025-10</v>
      </c>
      <c r="AN3" s="11" t="str">
        <f>TEXT(EOMONTH(DATE(LEFT(AM3,4),RIGHT(AM3,2),1),-1),"yyyy-mm")</f>
        <v>2025-09</v>
      </c>
      <c r="AO3" s="11" t="str">
        <f t="shared" si="4"/>
        <v>2025-09</v>
      </c>
      <c r="AP3" s="11" t="str">
        <f t="shared" si="4"/>
        <v>2025-09</v>
      </c>
      <c r="AQ3" s="11" t="str">
        <f>TEXT(EOMONTH(DATE(LEFT(AP3,4),RIGHT(AP3,2),1),-1),"yyyy-mm")</f>
        <v>2025-08</v>
      </c>
      <c r="AR3" s="11" t="str">
        <f t="shared" ref="AR3:AV3" si="5">AQ3</f>
        <v>2025-08</v>
      </c>
      <c r="AS3" s="11" t="str">
        <f t="shared" si="5"/>
        <v>2025-08</v>
      </c>
      <c r="AT3" s="11" t="str">
        <f>TEXT(EOMONTH(DATE(LEFT(AS3,4),RIGHT(AS3,2),1),-1),"yyyy-mm")</f>
        <v>2025-07</v>
      </c>
      <c r="AU3" s="11" t="str">
        <f t="shared" si="5"/>
        <v>2025-07</v>
      </c>
      <c r="AV3" s="11" t="str">
        <f t="shared" si="5"/>
        <v>2025-07</v>
      </c>
      <c r="AW3" s="11" t="str">
        <f>TEXT(EOMONTH(DATE(LEFT(AV3,4),RIGHT(AV3,2),1),-1),"yyyy-mm")</f>
        <v>2025-06</v>
      </c>
      <c r="AX3" s="11" t="str">
        <f t="shared" ref="AX3:BB3" si="6">AW3</f>
        <v>2025-06</v>
      </c>
      <c r="AY3" s="11" t="str">
        <f t="shared" si="6"/>
        <v>2025-06</v>
      </c>
      <c r="AZ3" s="11" t="s">
        <v>268</v>
      </c>
      <c r="BA3" s="11" t="str">
        <f t="shared" si="6"/>
        <v>2024-00</v>
      </c>
      <c r="BB3" s="11" t="str">
        <f t="shared" si="6"/>
        <v>2024-00</v>
      </c>
      <c r="BC3" s="11" t="s">
        <v>269</v>
      </c>
      <c r="BD3" s="11" t="str">
        <f t="shared" ref="BD3:BH3" si="7">BC3</f>
        <v>2023-00</v>
      </c>
      <c r="BE3" s="11" t="str">
        <f t="shared" si="7"/>
        <v>2023-00</v>
      </c>
      <c r="BF3" s="11" t="s">
        <v>270</v>
      </c>
      <c r="BG3" s="11" t="str">
        <f t="shared" si="7"/>
        <v>2022-00</v>
      </c>
      <c r="BH3" s="11" t="str">
        <f t="shared" si="7"/>
        <v>2022-00</v>
      </c>
      <c r="BI3" s="11" t="s">
        <v>271</v>
      </c>
      <c r="BJ3" s="11" t="str">
        <f>BI3</f>
        <v>2021-00</v>
      </c>
      <c r="BK3" s="11" t="str">
        <f>BJ3</f>
        <v>2021-00</v>
      </c>
    </row>
    <row r="4" hidden="1" outlineLevel="2" spans="1:63">
      <c r="A4" s="5"/>
      <c r="B4" s="5"/>
      <c r="C4" s="5"/>
      <c r="E4" s="5"/>
      <c r="F4" s="129" t="s">
        <v>365</v>
      </c>
      <c r="G4" s="6"/>
      <c r="H4" s="9" t="s">
        <v>366</v>
      </c>
      <c r="I4" s="10"/>
      <c r="J4" s="11" t="str">
        <f t="shared" ref="J4:AY4" si="8">J3</f>
        <v>2026-07</v>
      </c>
      <c r="K4" s="11" t="str">
        <f t="shared" si="8"/>
        <v>2026-07</v>
      </c>
      <c r="L4" s="11" t="str">
        <f t="shared" si="8"/>
        <v>2026-07</v>
      </c>
      <c r="M4" s="11" t="str">
        <f t="shared" si="8"/>
        <v>2026-06</v>
      </c>
      <c r="N4" s="11" t="str">
        <f t="shared" si="8"/>
        <v>2026-06</v>
      </c>
      <c r="O4" s="11" t="str">
        <f t="shared" si="8"/>
        <v>2026-06</v>
      </c>
      <c r="P4" s="11" t="str">
        <f t="shared" si="8"/>
        <v>2026-05</v>
      </c>
      <c r="Q4" s="11" t="str">
        <f t="shared" si="8"/>
        <v>2026-05</v>
      </c>
      <c r="R4" s="11" t="str">
        <f t="shared" si="8"/>
        <v>2026-05</v>
      </c>
      <c r="S4" s="11" t="str">
        <f t="shared" si="8"/>
        <v>2026-04</v>
      </c>
      <c r="T4" s="11" t="str">
        <f t="shared" si="8"/>
        <v>2026-04</v>
      </c>
      <c r="U4" s="11" t="str">
        <f t="shared" si="8"/>
        <v>2026-04</v>
      </c>
      <c r="V4" s="11" t="str">
        <f t="shared" si="8"/>
        <v>2026-03</v>
      </c>
      <c r="W4" s="11" t="str">
        <f t="shared" si="8"/>
        <v>2026-03</v>
      </c>
      <c r="X4" s="11" t="str">
        <f t="shared" si="8"/>
        <v>2026-03</v>
      </c>
      <c r="Y4" s="11" t="str">
        <f t="shared" si="8"/>
        <v>2026-02</v>
      </c>
      <c r="Z4" s="11" t="str">
        <f t="shared" si="8"/>
        <v>2026-02</v>
      </c>
      <c r="AA4" s="11" t="str">
        <f t="shared" si="8"/>
        <v>2026-02</v>
      </c>
      <c r="AB4" s="11" t="str">
        <f t="shared" si="8"/>
        <v>2026-01</v>
      </c>
      <c r="AC4" s="11" t="str">
        <f t="shared" si="8"/>
        <v>2026-01</v>
      </c>
      <c r="AD4" s="11" t="str">
        <f t="shared" si="8"/>
        <v>2026-01</v>
      </c>
      <c r="AE4" s="11" t="str">
        <f t="shared" si="8"/>
        <v>2025-12</v>
      </c>
      <c r="AF4" s="11" t="str">
        <f t="shared" si="8"/>
        <v>2025-12</v>
      </c>
      <c r="AG4" s="11" t="str">
        <f t="shared" si="8"/>
        <v>2025-12</v>
      </c>
      <c r="AH4" s="11" t="str">
        <f t="shared" si="8"/>
        <v>2025-11</v>
      </c>
      <c r="AI4" s="11" t="str">
        <f t="shared" si="8"/>
        <v>2025-11</v>
      </c>
      <c r="AJ4" s="11" t="str">
        <f t="shared" si="8"/>
        <v>2025-11</v>
      </c>
      <c r="AK4" s="11" t="str">
        <f t="shared" si="8"/>
        <v>2025-10</v>
      </c>
      <c r="AL4" s="11" t="str">
        <f t="shared" si="8"/>
        <v>2025-10</v>
      </c>
      <c r="AM4" s="11" t="str">
        <f t="shared" si="8"/>
        <v>2025-10</v>
      </c>
      <c r="AN4" s="11" t="str">
        <f t="shared" si="8"/>
        <v>2025-09</v>
      </c>
      <c r="AO4" s="11" t="str">
        <f t="shared" si="8"/>
        <v>2025-09</v>
      </c>
      <c r="AP4" s="11" t="str">
        <f t="shared" si="8"/>
        <v>2025-09</v>
      </c>
      <c r="AQ4" s="11" t="str">
        <f t="shared" si="8"/>
        <v>2025-08</v>
      </c>
      <c r="AR4" s="11" t="str">
        <f t="shared" si="8"/>
        <v>2025-08</v>
      </c>
      <c r="AS4" s="11" t="str">
        <f t="shared" si="8"/>
        <v>2025-08</v>
      </c>
      <c r="AT4" s="11" t="str">
        <f t="shared" si="8"/>
        <v>2025-07</v>
      </c>
      <c r="AU4" s="11" t="str">
        <f t="shared" si="8"/>
        <v>2025-07</v>
      </c>
      <c r="AV4" s="11" t="str">
        <f t="shared" si="8"/>
        <v>2025-07</v>
      </c>
      <c r="AW4" s="11" t="str">
        <f t="shared" si="8"/>
        <v>2025-06</v>
      </c>
      <c r="AX4" s="11" t="str">
        <f t="shared" si="8"/>
        <v>2025-06</v>
      </c>
      <c r="AY4" s="11" t="str">
        <f t="shared" si="8"/>
        <v>2025-06</v>
      </c>
      <c r="AZ4" s="11" t="s">
        <v>148</v>
      </c>
      <c r="BA4" s="11" t="s">
        <v>148</v>
      </c>
      <c r="BB4" s="11" t="s">
        <v>148</v>
      </c>
      <c r="BC4" s="11" t="s">
        <v>146</v>
      </c>
      <c r="BD4" s="11" t="s">
        <v>146</v>
      </c>
      <c r="BE4" s="11" t="s">
        <v>146</v>
      </c>
      <c r="BF4" s="11" t="s">
        <v>144</v>
      </c>
      <c r="BG4" s="11" t="s">
        <v>144</v>
      </c>
      <c r="BH4" s="11" t="s">
        <v>144</v>
      </c>
      <c r="BI4" s="11" t="s">
        <v>142</v>
      </c>
      <c r="BJ4" s="11" t="s">
        <v>142</v>
      </c>
      <c r="BK4" s="11" t="s">
        <v>142</v>
      </c>
    </row>
    <row r="5" hidden="1" outlineLevel="2" spans="1:63">
      <c r="A5" s="5"/>
      <c r="B5" s="5"/>
      <c r="C5" s="5"/>
      <c r="E5" s="5"/>
      <c r="F5" s="5"/>
      <c r="G5" s="6"/>
      <c r="H5" s="9"/>
      <c r="I5" s="1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hidden="1" outlineLevel="2" spans="1:63">
      <c r="A6" s="5"/>
      <c r="B6" s="5"/>
      <c r="C6" s="5"/>
      <c r="E6" s="5"/>
      <c r="F6" s="5"/>
      <c r="G6" s="13"/>
      <c r="H6" s="14"/>
      <c r="I6" s="1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hidden="1" outlineLevel="1" collapsed="1" spans="1:63">
      <c r="A7" s="16"/>
      <c r="B7" s="16"/>
      <c r="C7" s="16"/>
      <c r="E7" s="16"/>
      <c r="F7" s="16"/>
      <c r="G7" s="17"/>
      <c r="H7" s="18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</row>
    <row r="8" s="1" customFormat="1" hidden="1" outlineLevel="1" spans="1:63">
      <c r="F8" s="19"/>
      <c r="G8" s="20"/>
      <c r="H8" s="21"/>
    </row>
    <row r="9" s="1" customFormat="1" ht="26" customHeight="1" collapsed="1" spans="1:63">
      <c r="A9" s="22"/>
      <c r="B9" s="22"/>
      <c r="C9" s="22"/>
      <c r="D9" s="23"/>
      <c r="E9" s="23"/>
      <c r="F9" s="24" t="s">
        <v>367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</row>
    <row r="10" s="1" customFormat="1" ht="21" customHeight="1" spans="1:63">
      <c r="A10" s="22"/>
      <c r="B10" s="22"/>
      <c r="C10" s="22"/>
      <c r="D10" s="25"/>
      <c r="E10" s="25"/>
      <c r="F10" s="26" t="s">
        <v>368</v>
      </c>
      <c r="G10" s="26"/>
      <c r="H10" s="25"/>
      <c r="I10" s="25"/>
      <c r="J10" s="25"/>
      <c r="K10" s="25"/>
      <c r="L10" s="25" t="str">
        <f>TEXT(DATE(LEFT(L3,4),RIGHT(L3,2),1),"[$-en-US]mmmm yyyy")</f>
        <v>July 2026</v>
      </c>
      <c r="M10" s="25"/>
      <c r="N10" s="25"/>
      <c r="O10" s="25" t="str">
        <f>TEXT(DATE(LEFT(O3,4),RIGHT(O3,2),1),"[$-en-US]mmmm yyyy")</f>
        <v>June 2026</v>
      </c>
      <c r="P10" s="25"/>
      <c r="Q10" s="25"/>
      <c r="R10" s="25" t="str">
        <f>TEXT(DATE(LEFT(R3,4),RIGHT(R3,2),1),"[$-en-US]mmmm yyyy")</f>
        <v>May 2026</v>
      </c>
      <c r="S10" s="25"/>
      <c r="T10" s="25"/>
      <c r="U10" s="25" t="str">
        <f>TEXT(DATE(LEFT(U3,4),RIGHT(U3,2),1),"[$-en-US]mmmm yyyy")</f>
        <v>April 2026</v>
      </c>
      <c r="V10" s="25"/>
      <c r="W10" s="25"/>
      <c r="X10" s="25" t="str">
        <f>TEXT(DATE(LEFT(X3,4),RIGHT(X3,2),1),"[$-en-US]mmmm yyyy")</f>
        <v>March 2026</v>
      </c>
      <c r="Y10" s="25"/>
      <c r="Z10" s="25"/>
      <c r="AA10" s="25" t="str">
        <f>TEXT(DATE(LEFT(AA3,4),RIGHT(AA3,2),1),"[$-en-US]mmmm yyyy")</f>
        <v>February 2026</v>
      </c>
      <c r="AB10" s="25"/>
      <c r="AC10" s="25"/>
      <c r="AD10" s="25" t="str">
        <f>TEXT(DATE(LEFT(AD3,4),RIGHT(AD3,2),1),"[$-en-US]mmmm yyyy")</f>
        <v>January 2026</v>
      </c>
      <c r="AE10" s="25"/>
      <c r="AF10" s="25"/>
      <c r="AG10" s="25" t="str">
        <f>TEXT(DATE(LEFT(AG3,4),RIGHT(AG3,2),1),"[$-en-US]mmmm yyyy")</f>
        <v>December 2025</v>
      </c>
      <c r="AH10" s="25"/>
      <c r="AI10" s="25"/>
      <c r="AJ10" s="25" t="str">
        <f>TEXT(DATE(LEFT(AJ3,4),RIGHT(AJ3,2),1),"[$-en-US]mmmm yyyy")</f>
        <v>November 2025</v>
      </c>
      <c r="AK10" s="25"/>
      <c r="AL10" s="25"/>
      <c r="AM10" s="25" t="str">
        <f>TEXT(DATE(LEFT(AM3,4),RIGHT(AM3,2),1),"[$-en-US]mmmm yyyy")</f>
        <v>October 2025</v>
      </c>
      <c r="AN10" s="25"/>
      <c r="AO10" s="25"/>
      <c r="AP10" s="25" t="str">
        <f>TEXT(DATE(LEFT(AP3,4),RIGHT(AP3,2),1),"[$-en-US]mmmm yyyy")</f>
        <v>September 2025</v>
      </c>
      <c r="AQ10" s="25"/>
      <c r="AR10" s="25"/>
      <c r="AS10" s="25" t="str">
        <f>TEXT(DATE(LEFT(AS3,4),RIGHT(AS3,2),1),"[$-en-US]mmmm yyyy")</f>
        <v>August 2025</v>
      </c>
      <c r="AT10" s="25"/>
      <c r="AU10" s="25"/>
      <c r="AV10" s="25" t="str">
        <f>TEXT(DATE(LEFT(AV3,4),RIGHT(AV3,2),1),"[$-en-US]mmmm yyyy")</f>
        <v>July 2025</v>
      </c>
      <c r="AW10" s="25"/>
      <c r="AX10" s="25"/>
      <c r="AY10" s="25" t="str">
        <f>TEXT(DATE(LEFT(AY3,4),RIGHT(AY3,2),1),"[$-en-US]mmmm yyyy")</f>
        <v>June 2025</v>
      </c>
      <c r="AZ10" s="25"/>
      <c r="BA10" s="25"/>
      <c r="BB10" s="25" t="s">
        <v>369</v>
      </c>
      <c r="BC10" s="25"/>
      <c r="BD10" s="25"/>
      <c r="BE10" s="25" t="s">
        <v>370</v>
      </c>
      <c r="BF10" s="25"/>
      <c r="BG10" s="25"/>
      <c r="BH10" s="25" t="s">
        <v>371</v>
      </c>
      <c r="BI10" s="25"/>
      <c r="BJ10" s="25"/>
      <c r="BK10" s="25" t="s">
        <v>372</v>
      </c>
    </row>
    <row r="11" s="2" customFormat="1" ht="21" customHeight="1" spans="1:63">
      <c r="A11" s="22"/>
      <c r="B11" s="22"/>
      <c r="C11" s="22"/>
      <c r="D11" s="27"/>
      <c r="E11" s="28"/>
      <c r="F11" s="28" t="s">
        <v>364</v>
      </c>
      <c r="G11" s="28"/>
      <c r="H11" s="27" t="s">
        <v>373</v>
      </c>
      <c r="I11" s="27" t="s">
        <v>374</v>
      </c>
      <c r="J11" s="27" t="s">
        <v>375</v>
      </c>
      <c r="K11" s="27" t="s">
        <v>376</v>
      </c>
      <c r="L11" s="27" t="s">
        <v>228</v>
      </c>
      <c r="M11" s="27" t="s">
        <v>375</v>
      </c>
      <c r="N11" s="27" t="s">
        <v>376</v>
      </c>
      <c r="O11" s="27" t="s">
        <v>228</v>
      </c>
      <c r="P11" s="27" t="s">
        <v>375</v>
      </c>
      <c r="Q11" s="27" t="s">
        <v>376</v>
      </c>
      <c r="R11" s="27" t="s">
        <v>228</v>
      </c>
      <c r="S11" s="27" t="s">
        <v>375</v>
      </c>
      <c r="T11" s="27" t="s">
        <v>376</v>
      </c>
      <c r="U11" s="27" t="s">
        <v>228</v>
      </c>
      <c r="V11" s="27" t="s">
        <v>375</v>
      </c>
      <c r="W11" s="27" t="s">
        <v>376</v>
      </c>
      <c r="X11" s="27" t="s">
        <v>228</v>
      </c>
      <c r="Y11" s="27" t="s">
        <v>375</v>
      </c>
      <c r="Z11" s="27" t="s">
        <v>376</v>
      </c>
      <c r="AA11" s="27" t="s">
        <v>228</v>
      </c>
      <c r="AB11" s="27" t="s">
        <v>375</v>
      </c>
      <c r="AC11" s="27" t="s">
        <v>376</v>
      </c>
      <c r="AD11" s="27" t="s">
        <v>228</v>
      </c>
      <c r="AE11" s="27" t="s">
        <v>375</v>
      </c>
      <c r="AF11" s="27" t="s">
        <v>376</v>
      </c>
      <c r="AG11" s="27" t="s">
        <v>228</v>
      </c>
      <c r="AH11" s="27" t="s">
        <v>375</v>
      </c>
      <c r="AI11" s="27" t="s">
        <v>376</v>
      </c>
      <c r="AJ11" s="27" t="s">
        <v>228</v>
      </c>
      <c r="AK11" s="27" t="s">
        <v>375</v>
      </c>
      <c r="AL11" s="27" t="s">
        <v>376</v>
      </c>
      <c r="AM11" s="27" t="s">
        <v>228</v>
      </c>
      <c r="AN11" s="27" t="s">
        <v>375</v>
      </c>
      <c r="AO11" s="27" t="s">
        <v>376</v>
      </c>
      <c r="AP11" s="27" t="s">
        <v>228</v>
      </c>
      <c r="AQ11" s="27" t="s">
        <v>375</v>
      </c>
      <c r="AR11" s="27" t="s">
        <v>376</v>
      </c>
      <c r="AS11" s="27" t="s">
        <v>228</v>
      </c>
      <c r="AT11" s="27" t="s">
        <v>375</v>
      </c>
      <c r="AU11" s="27" t="s">
        <v>376</v>
      </c>
      <c r="AV11" s="27" t="s">
        <v>228</v>
      </c>
      <c r="AW11" s="27" t="s">
        <v>375</v>
      </c>
      <c r="AX11" s="27" t="s">
        <v>376</v>
      </c>
      <c r="AY11" s="27" t="s">
        <v>228</v>
      </c>
      <c r="AZ11" s="27" t="s">
        <v>375</v>
      </c>
      <c r="BA11" s="27" t="s">
        <v>376</v>
      </c>
      <c r="BB11" s="27" t="s">
        <v>228</v>
      </c>
      <c r="BC11" s="27" t="s">
        <v>375</v>
      </c>
      <c r="BD11" s="27" t="s">
        <v>376</v>
      </c>
      <c r="BE11" s="27" t="s">
        <v>228</v>
      </c>
      <c r="BF11" s="27" t="s">
        <v>375</v>
      </c>
      <c r="BG11" s="27" t="s">
        <v>376</v>
      </c>
      <c r="BH11" s="27" t="s">
        <v>228</v>
      </c>
      <c r="BI11" s="27" t="s">
        <v>375</v>
      </c>
      <c r="BJ11" s="27" t="s">
        <v>376</v>
      </c>
      <c r="BK11" s="27" t="s">
        <v>228</v>
      </c>
    </row>
    <row r="12" s="2" customFormat="1" ht="16.5" customHeight="1" spans="1:63">
      <c r="A12" s="22"/>
      <c r="B12" s="22"/>
      <c r="C12" s="22" t="s">
        <v>377</v>
      </c>
      <c r="D12" s="29"/>
      <c r="E12" s="29" t="s">
        <v>378</v>
      </c>
      <c r="F12" s="29"/>
      <c r="G12" s="29"/>
      <c r="H12" s="30">
        <f t="shared" ref="H12:H75" si="9">O12/$O$12</f>
        <v>1</v>
      </c>
      <c r="I12" s="31">
        <f t="shared" ref="I12:I75" si="10">IFERROR(L12/AV12-1,"")</f>
        <v>0.0765113922866205</v>
      </c>
      <c r="J12" s="32"/>
      <c r="K12" s="32"/>
      <c r="L12" s="32">
        <f>INDEX('[3]1.2'!$1:$104,MATCH(L$3,'[3]1.2'!$A:$A,0),MATCH(Summary!$C12,'[3]1.2'!$1:$1,0))</f>
        <v>10809854.196</v>
      </c>
      <c r="M12" s="32"/>
      <c r="N12" s="32"/>
      <c r="O12" s="32">
        <f>INDEX('[3]1.2'!$1:$104,MATCH(M$3,'[3]1.2'!$A:$A,0),MATCH(Summary!$C12,'[3]1.2'!$1:$1,0))</f>
        <v>10787895.712</v>
      </c>
      <c r="P12" s="32"/>
      <c r="Q12" s="32"/>
      <c r="R12" s="32">
        <f>INDEX('[3]1.2'!$1:$104,MATCH(P$3,'[3]1.2'!$A:$A,0),MATCH(Summary!$C12,'[3]1.2'!$1:$1,0))</f>
        <v>10646152.215</v>
      </c>
      <c r="S12" s="32"/>
      <c r="T12" s="32"/>
      <c r="U12" s="32">
        <f>INDEX('[3]1.2'!$1:$104,MATCH(S$3,'[3]1.2'!$A:$A,0),MATCH(Summary!$C12,'[3]1.2'!$1:$1,0))</f>
        <v>10496857.627</v>
      </c>
      <c r="V12" s="32"/>
      <c r="W12" s="32"/>
      <c r="X12" s="32">
        <f>INDEX('[3]1.2'!$1:$104,MATCH(V$3,'[3]1.2'!$A:$A,0),MATCH(Summary!$C12,'[3]1.2'!$1:$1,0))</f>
        <v>10440278.075</v>
      </c>
      <c r="Y12" s="32"/>
      <c r="Z12" s="32"/>
      <c r="AA12" s="32">
        <f>INDEX('[3]1.2'!$1:$104,MATCH(Y$3,'[3]1.2'!$A:$A,0),MATCH(Summary!$C12,'[3]1.2'!$1:$1,0))</f>
        <v>10302289.786</v>
      </c>
      <c r="AB12" s="32"/>
      <c r="AC12" s="32"/>
      <c r="AD12" s="32">
        <f>INDEX('[3]1.2'!$1:$104,MATCH(AB$3,'[3]1.2'!$A:$A,0),MATCH(Summary!$C12,'[3]1.2'!$1:$1,0))</f>
        <v>10245411.477</v>
      </c>
      <c r="AE12" s="32"/>
      <c r="AF12" s="32"/>
      <c r="AG12" s="32">
        <f>INDEX('[3]1.2'!$1:$104,MATCH(AE$3,'[3]1.2'!$A:$A,0),MATCH(Summary!$C12,'[3]1.2'!$1:$1,0))</f>
        <v>10136142.472</v>
      </c>
      <c r="AH12" s="32"/>
      <c r="AI12" s="32"/>
      <c r="AJ12" s="32">
        <f>INDEX('[3]1.2'!$1:$104,MATCH(AH$3,'[3]1.2'!$A:$A,0),MATCH(Summary!$C12,'[3]1.2'!$1:$1,0))</f>
        <v>10002555.776</v>
      </c>
      <c r="AK12" s="32"/>
      <c r="AL12" s="32"/>
      <c r="AM12" s="32">
        <f>INDEX('[3]1.2'!$1:$104,MATCH(AK$3,'[3]1.2'!$A:$A,0),MATCH(Summary!$C12,'[3]1.2'!$1:$1,0))</f>
        <v>9997067.516</v>
      </c>
      <c r="AN12" s="32"/>
      <c r="AO12" s="32"/>
      <c r="AP12" s="32">
        <f>INDEX('[3]1.2'!$1:$104,MATCH(AN$3,'[3]1.2'!$A:$A,0),MATCH(Summary!$C12,'[3]1.2'!$1:$1,0))</f>
        <v>10068576.088</v>
      </c>
      <c r="AQ12" s="32"/>
      <c r="AR12" s="32"/>
      <c r="AS12" s="32">
        <f>INDEX('[3]1.2'!$1:$104,MATCH(AQ$3,'[3]1.2'!$A:$A,0),MATCH(Summary!$C12,'[3]1.2'!$1:$1,0))</f>
        <v>10003516.378</v>
      </c>
      <c r="AT12" s="32"/>
      <c r="AU12" s="32"/>
      <c r="AV12" s="32">
        <f>INDEX('[3]1.2'!$1:$104,MATCH(AT$3,'[3]1.2'!$A:$A,0),MATCH(Summary!$C12,'[3]1.2'!$1:$1,0))</f>
        <v>10041560.427</v>
      </c>
      <c r="AW12" s="32"/>
      <c r="AX12" s="32"/>
      <c r="AY12" s="32">
        <f>INDEX('[3]1.2'!$1:$104,MATCH(AW$3,'[3]1.2'!$A:$A,0),MATCH(Summary!$C12,'[3]1.2'!$1:$1,0))</f>
        <v>10158381.395</v>
      </c>
      <c r="AZ12" s="32"/>
      <c r="BA12" s="32"/>
      <c r="BB12" s="32">
        <f>INDEX('[3]1.2'!$1:$104,MATCH(AZ$3,'[3]1.2'!$A:$A,0),MATCH(Summary!$C12,'[3]1.2'!$1:$1,0))</f>
        <v>9907807.982</v>
      </c>
      <c r="BC12" s="32"/>
      <c r="BD12" s="32"/>
      <c r="BE12" s="32">
        <f>INDEX('[3]1.2'!$1:$104,MATCH(BC$3,'[3]1.2'!$A:$A,0),MATCH(Summary!$C12,'[3]1.2'!$1:$1,0))</f>
        <v>10191315.441</v>
      </c>
      <c r="BF12" s="32"/>
      <c r="BG12" s="32"/>
      <c r="BH12" s="32">
        <f>INDEX('[3]1.2'!$1:$104,MATCH(BF$3,'[3]1.2'!$A:$A,0),MATCH(Summary!$C12,'[3]1.2'!$1:$1,0))</f>
        <v>10571297.745</v>
      </c>
      <c r="BI12" s="32"/>
      <c r="BJ12" s="32"/>
      <c r="BK12" s="32">
        <f>INDEX('[3]1.2'!$1:$104,MATCH(BI$3,'[3]1.2'!$A:$A,0),MATCH(Summary!$C12,'[3]1.2'!$1:$1,0))</f>
        <v>10893147.27</v>
      </c>
    </row>
    <row r="13" s="2" customFormat="1" ht="16.5" customHeight="1" spans="1:63">
      <c r="A13" s="22"/>
      <c r="B13" s="22"/>
      <c r="C13" s="22" t="s">
        <v>379</v>
      </c>
      <c r="D13" s="33"/>
      <c r="E13" s="33" t="s">
        <v>251</v>
      </c>
      <c r="F13" s="33"/>
      <c r="G13" s="33"/>
      <c r="H13" s="34">
        <f t="shared" si="9"/>
        <v>0.75040076369993</v>
      </c>
      <c r="I13" s="35">
        <f t="shared" si="10"/>
        <v>0.0651620061763223</v>
      </c>
      <c r="J13" s="36"/>
      <c r="K13" s="36"/>
      <c r="L13" s="36">
        <f>INDEX('[3]1.2'!$1:$104,MATCH(L$3,'[3]1.2'!$A:$A,0),MATCH(Summary!$C13,'[3]1.2'!$1:$1,0))</f>
        <v>8070867.022</v>
      </c>
      <c r="M13" s="36"/>
      <c r="N13" s="36"/>
      <c r="O13" s="36">
        <f>INDEX('[3]1.2'!$1:$104,MATCH(M$3,'[3]1.2'!$A:$A,0),MATCH(Summary!$C13,'[3]1.2'!$1:$1,0))</f>
        <v>8095245.181</v>
      </c>
      <c r="P13" s="36"/>
      <c r="Q13" s="36"/>
      <c r="R13" s="36">
        <f>INDEX('[3]1.2'!$1:$104,MATCH(P$3,'[3]1.2'!$A:$A,0),MATCH(Summary!$C13,'[3]1.2'!$1:$1,0))</f>
        <v>7981206.28</v>
      </c>
      <c r="S13" s="36"/>
      <c r="T13" s="36"/>
      <c r="U13" s="36">
        <f>INDEX('[3]1.2'!$1:$104,MATCH(S$3,'[3]1.2'!$A:$A,0),MATCH(Summary!$C13,'[3]1.2'!$1:$1,0))</f>
        <v>7869195.503</v>
      </c>
      <c r="V13" s="36"/>
      <c r="W13" s="36"/>
      <c r="X13" s="36">
        <f>INDEX('[3]1.2'!$1:$104,MATCH(V$3,'[3]1.2'!$A:$A,0),MATCH(Summary!$C13,'[3]1.2'!$1:$1,0))</f>
        <v>7861821.785</v>
      </c>
      <c r="Y13" s="36"/>
      <c r="Z13" s="36"/>
      <c r="AA13" s="36">
        <f>INDEX('[3]1.2'!$1:$104,MATCH(Y$3,'[3]1.2'!$A:$A,0),MATCH(Summary!$C13,'[3]1.2'!$1:$1,0))</f>
        <v>7721916.892</v>
      </c>
      <c r="AB13" s="36"/>
      <c r="AC13" s="36"/>
      <c r="AD13" s="36">
        <f>INDEX('[3]1.2'!$1:$104,MATCH(AB$3,'[3]1.2'!$A:$A,0),MATCH(Summary!$C13,'[3]1.2'!$1:$1,0))</f>
        <v>7688694.244</v>
      </c>
      <c r="AE13" s="36"/>
      <c r="AF13" s="36"/>
      <c r="AG13" s="36">
        <f>INDEX('[3]1.2'!$1:$104,MATCH(AE$3,'[3]1.2'!$A:$A,0),MATCH(Summary!$C13,'[3]1.2'!$1:$1,0))</f>
        <v>7635305.071</v>
      </c>
      <c r="AH13" s="36"/>
      <c r="AI13" s="36"/>
      <c r="AJ13" s="36">
        <f>INDEX('[3]1.2'!$1:$104,MATCH(AH$3,'[3]1.2'!$A:$A,0),MATCH(Summary!$C13,'[3]1.2'!$1:$1,0))</f>
        <v>7546764.365</v>
      </c>
      <c r="AK13" s="36"/>
      <c r="AL13" s="36"/>
      <c r="AM13" s="36">
        <f>INDEX('[3]1.2'!$1:$104,MATCH(AK$3,'[3]1.2'!$A:$A,0),MATCH(Summary!$C13,'[3]1.2'!$1:$1,0))</f>
        <v>7551750.302</v>
      </c>
      <c r="AN13" s="36"/>
      <c r="AO13" s="36"/>
      <c r="AP13" s="36">
        <f>INDEX('[3]1.2'!$1:$104,MATCH(AN$3,'[3]1.2'!$A:$A,0),MATCH(Summary!$C13,'[3]1.2'!$1:$1,0))</f>
        <v>7617255.615</v>
      </c>
      <c r="AQ13" s="36"/>
      <c r="AR13" s="36"/>
      <c r="AS13" s="36">
        <f>INDEX('[3]1.2'!$1:$104,MATCH(AQ$3,'[3]1.2'!$A:$A,0),MATCH(Summary!$C13,'[3]1.2'!$1:$1,0))</f>
        <v>7570020.563</v>
      </c>
      <c r="AT13" s="36"/>
      <c r="AU13" s="36"/>
      <c r="AV13" s="36">
        <f>INDEX('[3]1.2'!$1:$104,MATCH(AT$3,'[3]1.2'!$A:$A,0),MATCH(Summary!$C13,'[3]1.2'!$1:$1,0))</f>
        <v>7577126.273</v>
      </c>
      <c r="AW13" s="36"/>
      <c r="AX13" s="36"/>
      <c r="AY13" s="36">
        <f>INDEX('[3]1.2'!$1:$104,MATCH(AW$3,'[3]1.2'!$A:$A,0),MATCH(Summary!$C13,'[3]1.2'!$1:$1,0))</f>
        <v>7650101.444</v>
      </c>
      <c r="AZ13" s="36"/>
      <c r="BA13" s="36"/>
      <c r="BB13" s="36">
        <f>INDEX('[3]1.2'!$1:$104,MATCH(AZ$3,'[3]1.2'!$A:$A,0),MATCH(Summary!$C13,'[3]1.2'!$1:$1,0))</f>
        <v>7489982.206</v>
      </c>
      <c r="BC13" s="36"/>
      <c r="BD13" s="36"/>
      <c r="BE13" s="36">
        <f>INDEX('[3]1.2'!$1:$104,MATCH(BC$3,'[3]1.2'!$A:$A,0),MATCH(Summary!$C13,'[3]1.2'!$1:$1,0))</f>
        <v>7627950.886</v>
      </c>
      <c r="BF13" s="36"/>
      <c r="BG13" s="36"/>
      <c r="BH13" s="36">
        <f>INDEX('[3]1.2'!$1:$104,MATCH(BF$3,'[3]1.2'!$A:$A,0),MATCH(Summary!$C13,'[3]1.2'!$1:$1,0))</f>
        <v>7710340.602</v>
      </c>
      <c r="BI13" s="36"/>
      <c r="BJ13" s="36"/>
      <c r="BK13" s="36">
        <f>INDEX('[3]1.2'!$1:$104,MATCH(BI$3,'[3]1.2'!$A:$A,0),MATCH(Summary!$C13,'[3]1.2'!$1:$1,0))</f>
        <v>7712295.503</v>
      </c>
    </row>
    <row r="14" s="2" customFormat="1" ht="16.5" customHeight="1" spans="1:63">
      <c r="A14" s="22"/>
      <c r="B14" s="22"/>
      <c r="C14" s="22"/>
      <c r="D14" s="37"/>
      <c r="E14" s="38" t="s">
        <v>380</v>
      </c>
      <c r="F14" s="37"/>
      <c r="G14" s="37" t="s">
        <v>381</v>
      </c>
      <c r="H14" s="39">
        <f t="shared" si="9"/>
        <v>0.0404239346247028</v>
      </c>
      <c r="I14" s="40">
        <f t="shared" si="10"/>
        <v>0.171213278417168</v>
      </c>
      <c r="J14" s="41">
        <f t="shared" ref="J14:BK14" si="11">J15+J16</f>
        <v>69564.467</v>
      </c>
      <c r="K14" s="41">
        <f t="shared" si="11"/>
        <v>352264.124</v>
      </c>
      <c r="L14" s="41">
        <f t="shared" si="11"/>
        <v>421828.591</v>
      </c>
      <c r="M14" s="41">
        <f t="shared" si="11"/>
        <v>69891.593</v>
      </c>
      <c r="N14" s="41">
        <f t="shared" si="11"/>
        <v>366197.598</v>
      </c>
      <c r="O14" s="41">
        <f t="shared" si="11"/>
        <v>436089.191</v>
      </c>
      <c r="P14" s="41">
        <f t="shared" si="11"/>
        <v>69479.415</v>
      </c>
      <c r="Q14" s="41">
        <f t="shared" si="11"/>
        <v>345283.602</v>
      </c>
      <c r="R14" s="41">
        <f t="shared" si="11"/>
        <v>414763.017</v>
      </c>
      <c r="S14" s="41">
        <f t="shared" si="11"/>
        <v>71110.996</v>
      </c>
      <c r="T14" s="41">
        <f t="shared" si="11"/>
        <v>334355.984</v>
      </c>
      <c r="U14" s="41">
        <f t="shared" si="11"/>
        <v>405466.98</v>
      </c>
      <c r="V14" s="41">
        <f t="shared" si="11"/>
        <v>71311.646</v>
      </c>
      <c r="W14" s="41">
        <f t="shared" si="11"/>
        <v>350189.464</v>
      </c>
      <c r="X14" s="41">
        <f t="shared" si="11"/>
        <v>421501.11</v>
      </c>
      <c r="Y14" s="41">
        <f t="shared" si="11"/>
        <v>71082.456</v>
      </c>
      <c r="Z14" s="41">
        <f t="shared" si="11"/>
        <v>298251.663</v>
      </c>
      <c r="AA14" s="41">
        <f t="shared" si="11"/>
        <v>369334.119</v>
      </c>
      <c r="AB14" s="41">
        <f t="shared" si="11"/>
        <v>71982.724</v>
      </c>
      <c r="AC14" s="41">
        <f t="shared" si="11"/>
        <v>287615.053</v>
      </c>
      <c r="AD14" s="41">
        <f t="shared" si="11"/>
        <v>359597.777</v>
      </c>
      <c r="AE14" s="41">
        <f t="shared" si="11"/>
        <v>70403.018</v>
      </c>
      <c r="AF14" s="41">
        <f t="shared" si="11"/>
        <v>320377.193</v>
      </c>
      <c r="AG14" s="41">
        <f t="shared" si="11"/>
        <v>390780.211</v>
      </c>
      <c r="AH14" s="41">
        <f t="shared" si="11"/>
        <v>72545.314</v>
      </c>
      <c r="AI14" s="41">
        <f t="shared" si="11"/>
        <v>271170.65</v>
      </c>
      <c r="AJ14" s="41">
        <f t="shared" si="11"/>
        <v>343715.964</v>
      </c>
      <c r="AK14" s="41">
        <f t="shared" si="11"/>
        <v>72278.679</v>
      </c>
      <c r="AL14" s="41">
        <f t="shared" si="11"/>
        <v>267536.827</v>
      </c>
      <c r="AM14" s="41">
        <f t="shared" si="11"/>
        <v>339815.506</v>
      </c>
      <c r="AN14" s="41">
        <f t="shared" si="11"/>
        <v>76472.681</v>
      </c>
      <c r="AO14" s="41">
        <f t="shared" si="11"/>
        <v>297282.48</v>
      </c>
      <c r="AP14" s="41">
        <f t="shared" si="11"/>
        <v>373755.161</v>
      </c>
      <c r="AQ14" s="41">
        <f t="shared" si="11"/>
        <v>79995.541</v>
      </c>
      <c r="AR14" s="41">
        <f t="shared" si="11"/>
        <v>270057.77</v>
      </c>
      <c r="AS14" s="41">
        <f t="shared" si="11"/>
        <v>350053.311</v>
      </c>
      <c r="AT14" s="41">
        <f t="shared" si="11"/>
        <v>80071.267</v>
      </c>
      <c r="AU14" s="41">
        <f t="shared" si="11"/>
        <v>280092.504</v>
      </c>
      <c r="AV14" s="41">
        <f t="shared" si="11"/>
        <v>360163.771</v>
      </c>
      <c r="AW14" s="41">
        <f t="shared" si="11"/>
        <v>77937.981</v>
      </c>
      <c r="AX14" s="41">
        <f t="shared" si="11"/>
        <v>298285.901</v>
      </c>
      <c r="AY14" s="41">
        <f t="shared" si="11"/>
        <v>376223.882</v>
      </c>
      <c r="AZ14" s="41">
        <f t="shared" si="11"/>
        <v>71266.122</v>
      </c>
      <c r="BA14" s="41">
        <f t="shared" si="11"/>
        <v>309976.746</v>
      </c>
      <c r="BB14" s="41">
        <f t="shared" si="11"/>
        <v>381242.868</v>
      </c>
      <c r="BC14" s="41">
        <f t="shared" si="11"/>
        <v>65989.26</v>
      </c>
      <c r="BD14" s="41">
        <f t="shared" si="11"/>
        <v>298636.609</v>
      </c>
      <c r="BE14" s="41">
        <f t="shared" si="11"/>
        <v>364625.869</v>
      </c>
      <c r="BF14" s="41">
        <f t="shared" si="11"/>
        <v>70691.279</v>
      </c>
      <c r="BG14" s="41">
        <f t="shared" si="11"/>
        <v>349000.496</v>
      </c>
      <c r="BH14" s="41">
        <f t="shared" si="11"/>
        <v>419691.775</v>
      </c>
      <c r="BI14" s="41">
        <f t="shared" si="11"/>
        <v>68943.894</v>
      </c>
      <c r="BJ14" s="41">
        <f t="shared" si="11"/>
        <v>416086.351</v>
      </c>
      <c r="BK14" s="41">
        <f t="shared" si="11"/>
        <v>485030.245</v>
      </c>
    </row>
    <row r="15" s="1" customFormat="1" ht="16.5" customHeight="1" outlineLevel="1" spans="1:63">
      <c r="A15" s="22" t="s">
        <v>382</v>
      </c>
      <c r="B15" s="22" t="s">
        <v>383</v>
      </c>
      <c r="C15" s="22" t="s">
        <v>384</v>
      </c>
      <c r="D15" s="42"/>
      <c r="E15" s="43" t="s">
        <v>385</v>
      </c>
      <c r="F15" s="42"/>
      <c r="G15" s="44" t="s">
        <v>386</v>
      </c>
      <c r="H15" s="45">
        <f t="shared" si="9"/>
        <v>0.0243622263336911</v>
      </c>
      <c r="I15" s="46">
        <f t="shared" si="10"/>
        <v>0.12876795338429</v>
      </c>
      <c r="J15" s="47">
        <f>INDEX('[3]3.4.1'!$1:$104,MATCH(J$4,'[3]3.4.1'!$A:$A,0),MATCH(Summary!$A15,'[3]3.4.1'!$1:$1,0))</f>
        <v>56511.102</v>
      </c>
      <c r="K15" s="47">
        <f>INDEX('[3]3.4.1'!$1:$104,MATCH(K$4,'[3]3.4.1'!$A:$A,0),MATCH(Summary!$B15,'[3]3.4.1'!$1:$1,0))</f>
        <v>193800.707</v>
      </c>
      <c r="L15" s="47">
        <f>INDEX('[3]3.4.1'!$1:$104,MATCH(L$4,'[3]3.4.1'!$A:$A,0),MATCH(Summary!$C15,'[3]3.4.1'!$1:$1,0))</f>
        <v>250311.809</v>
      </c>
      <c r="M15" s="47">
        <f>INDEX('[3]3.4.1'!$1:$104,MATCH(M$4,'[3]3.4.1'!$A:$A,0),MATCH(Summary!$A15,'[3]3.4.1'!$1:$1,0))</f>
        <v>57111.395</v>
      </c>
      <c r="N15" s="47">
        <f>INDEX('[3]3.4.1'!$1:$104,MATCH(N$4,'[3]3.4.1'!$A:$A,0),MATCH(Summary!$B15,'[3]3.4.1'!$1:$1,0))</f>
        <v>205705.762</v>
      </c>
      <c r="O15" s="47">
        <f>INDEX('[3]3.4.1'!$1:$104,MATCH(O$4,'[3]3.4.1'!$A:$A,0),MATCH(Summary!$C15,'[3]3.4.1'!$1:$1,0))</f>
        <v>262817.157</v>
      </c>
      <c r="P15" s="47">
        <f>INDEX('[3]3.4.1'!$1:$104,MATCH(P$4,'[3]3.4.1'!$A:$A,0),MATCH(Summary!$A15,'[3]3.4.1'!$1:$1,0))</f>
        <v>57013.091</v>
      </c>
      <c r="Q15" s="47">
        <f>INDEX('[3]3.4.1'!$1:$104,MATCH(Q$4,'[3]3.4.1'!$A:$A,0),MATCH(Summary!$B15,'[3]3.4.1'!$1:$1,0))</f>
        <v>186630.306</v>
      </c>
      <c r="R15" s="47">
        <f>INDEX('[3]3.4.1'!$1:$104,MATCH(R$4,'[3]3.4.1'!$A:$A,0),MATCH(Summary!$C15,'[3]3.4.1'!$1:$1,0))</f>
        <v>243643.397</v>
      </c>
      <c r="S15" s="47">
        <f>INDEX('[3]3.4.1'!$1:$104,MATCH(S$4,'[3]3.4.1'!$A:$A,0),MATCH(Summary!$A15,'[3]3.4.1'!$1:$1,0))</f>
        <v>59126.986</v>
      </c>
      <c r="T15" s="47">
        <f>INDEX('[3]3.4.1'!$1:$104,MATCH(T$4,'[3]3.4.1'!$A:$A,0),MATCH(Summary!$B15,'[3]3.4.1'!$1:$1,0))</f>
        <v>173799.623</v>
      </c>
      <c r="U15" s="47">
        <f>INDEX('[3]3.4.1'!$1:$104,MATCH(U$4,'[3]3.4.1'!$A:$A,0),MATCH(Summary!$C15,'[3]3.4.1'!$1:$1,0))</f>
        <v>232926.609</v>
      </c>
      <c r="V15" s="47">
        <f>INDEX('[3]3.4.1'!$1:$104,MATCH(V$4,'[3]3.4.1'!$A:$A,0),MATCH(Summary!$A15,'[3]3.4.1'!$1:$1,0))</f>
        <v>59339.624</v>
      </c>
      <c r="W15" s="47">
        <f>INDEX('[3]3.4.1'!$1:$104,MATCH(W$4,'[3]3.4.1'!$A:$A,0),MATCH(Summary!$B15,'[3]3.4.1'!$1:$1,0))</f>
        <v>182422.148</v>
      </c>
      <c r="X15" s="47">
        <f>INDEX('[3]3.4.1'!$1:$104,MATCH(X$4,'[3]3.4.1'!$A:$A,0),MATCH(Summary!$C15,'[3]3.4.1'!$1:$1,0))</f>
        <v>241761.772</v>
      </c>
      <c r="Y15" s="47">
        <f>INDEX('[3]3.4.1'!$1:$104,MATCH(Y$4,'[3]3.4.1'!$A:$A,0),MATCH(Summary!$A15,'[3]3.4.1'!$1:$1,0))</f>
        <v>58040.729</v>
      </c>
      <c r="Z15" s="47">
        <f>INDEX('[3]3.4.1'!$1:$104,MATCH(Z$4,'[3]3.4.1'!$A:$A,0),MATCH(Summary!$B15,'[3]3.4.1'!$1:$1,0))</f>
        <v>172201.211</v>
      </c>
      <c r="AA15" s="47">
        <f>INDEX('[3]3.4.1'!$1:$104,MATCH(AA$4,'[3]3.4.1'!$A:$A,0),MATCH(Summary!$C15,'[3]3.4.1'!$1:$1,0))</f>
        <v>230241.94</v>
      </c>
      <c r="AB15" s="47">
        <f>INDEX('[3]3.4.1'!$1:$104,MATCH(AB$4,'[3]3.4.1'!$A:$A,0),MATCH(Summary!$A15,'[3]3.4.1'!$1:$1,0))</f>
        <v>58057.961</v>
      </c>
      <c r="AC15" s="47">
        <f>INDEX('[3]3.4.1'!$1:$104,MATCH(AC$4,'[3]3.4.1'!$A:$A,0),MATCH(Summary!$B15,'[3]3.4.1'!$1:$1,0))</f>
        <v>166061.314</v>
      </c>
      <c r="AD15" s="47">
        <f>INDEX('[3]3.4.1'!$1:$104,MATCH(AD$4,'[3]3.4.1'!$A:$A,0),MATCH(Summary!$C15,'[3]3.4.1'!$1:$1,0))</f>
        <v>224119.275</v>
      </c>
      <c r="AE15" s="47">
        <f>INDEX('[3]3.4.1'!$1:$104,MATCH(AE$4,'[3]3.4.1'!$A:$A,0),MATCH(Summary!$A15,'[3]3.4.1'!$1:$1,0))</f>
        <v>55987.338</v>
      </c>
      <c r="AF15" s="47">
        <f>INDEX('[3]3.4.1'!$1:$104,MATCH(AF$4,'[3]3.4.1'!$A:$A,0),MATCH(Summary!$B15,'[3]3.4.1'!$1:$1,0))</f>
        <v>186177.144</v>
      </c>
      <c r="AG15" s="47">
        <f>INDEX('[3]3.4.1'!$1:$104,MATCH(AG$4,'[3]3.4.1'!$A:$A,0),MATCH(Summary!$C15,'[3]3.4.1'!$1:$1,0))</f>
        <v>242164.482</v>
      </c>
      <c r="AH15" s="47">
        <f>INDEX('[3]3.4.1'!$1:$104,MATCH(AH$4,'[3]3.4.1'!$A:$A,0),MATCH(Summary!$A15,'[3]3.4.1'!$1:$1,0))</f>
        <v>58570.371</v>
      </c>
      <c r="AI15" s="47">
        <f>INDEX('[3]3.4.1'!$1:$104,MATCH(AI$4,'[3]3.4.1'!$A:$A,0),MATCH(Summary!$B15,'[3]3.4.1'!$1:$1,0))</f>
        <v>154966.043</v>
      </c>
      <c r="AJ15" s="47">
        <f>INDEX('[3]3.4.1'!$1:$104,MATCH(AJ$4,'[3]3.4.1'!$A:$A,0),MATCH(Summary!$C15,'[3]3.4.1'!$1:$1,0))</f>
        <v>213536.414</v>
      </c>
      <c r="AK15" s="47">
        <f>INDEX('[3]3.4.1'!$1:$104,MATCH(AK$4,'[3]3.4.1'!$A:$A,0),MATCH(Summary!$A15,'[3]3.4.1'!$1:$1,0))</f>
        <v>57795.635</v>
      </c>
      <c r="AL15" s="47">
        <f>INDEX('[3]3.4.1'!$1:$104,MATCH(AL$4,'[3]3.4.1'!$A:$A,0),MATCH(Summary!$B15,'[3]3.4.1'!$1:$1,0))</f>
        <v>153915.665</v>
      </c>
      <c r="AM15" s="47">
        <f>INDEX('[3]3.4.1'!$1:$104,MATCH(AM$4,'[3]3.4.1'!$A:$A,0),MATCH(Summary!$C15,'[3]3.4.1'!$1:$1,0))</f>
        <v>211711.3</v>
      </c>
      <c r="AN15" s="47">
        <f>INDEX('[3]3.4.1'!$1:$104,MATCH(AN$4,'[3]3.4.1'!$A:$A,0),MATCH(Summary!$A15,'[3]3.4.1'!$1:$1,0))</f>
        <v>61251.15</v>
      </c>
      <c r="AO15" s="47">
        <f>INDEX('[3]3.4.1'!$1:$104,MATCH(AO$4,'[3]3.4.1'!$A:$A,0),MATCH(Summary!$B15,'[3]3.4.1'!$1:$1,0))</f>
        <v>166019.305</v>
      </c>
      <c r="AP15" s="47">
        <f>INDEX('[3]3.4.1'!$1:$104,MATCH(AP$4,'[3]3.4.1'!$A:$A,0),MATCH(Summary!$C15,'[3]3.4.1'!$1:$1,0))</f>
        <v>227270.455</v>
      </c>
      <c r="AQ15" s="47">
        <f>INDEX('[3]3.4.1'!$1:$104,MATCH(AQ$4,'[3]3.4.1'!$A:$A,0),MATCH(Summary!$A15,'[3]3.4.1'!$1:$1,0))</f>
        <v>64970.17</v>
      </c>
      <c r="AR15" s="47">
        <f>INDEX('[3]3.4.1'!$1:$104,MATCH(AR$4,'[3]3.4.1'!$A:$A,0),MATCH(Summary!$B15,'[3]3.4.1'!$1:$1,0))</f>
        <v>148628.359</v>
      </c>
      <c r="AS15" s="47">
        <f>INDEX('[3]3.4.1'!$1:$104,MATCH(AS$4,'[3]3.4.1'!$A:$A,0),MATCH(Summary!$C15,'[3]3.4.1'!$1:$1,0))</f>
        <v>213598.529</v>
      </c>
      <c r="AT15" s="47">
        <f>INDEX('[3]3.4.1'!$1:$104,MATCH(AT$4,'[3]3.4.1'!$A:$A,0),MATCH(Summary!$A15,'[3]3.4.1'!$1:$1,0))</f>
        <v>65997.963</v>
      </c>
      <c r="AU15" s="47">
        <f>INDEX('[3]3.4.1'!$1:$104,MATCH(AU$4,'[3]3.4.1'!$A:$A,0),MATCH(Summary!$B15,'[3]3.4.1'!$1:$1,0))</f>
        <v>155758.695</v>
      </c>
      <c r="AV15" s="47">
        <f>INDEX('[3]3.4.1'!$1:$104,MATCH(AV$4,'[3]3.4.1'!$A:$A,0),MATCH(Summary!$C15,'[3]3.4.1'!$1:$1,0))</f>
        <v>221756.658</v>
      </c>
      <c r="AW15" s="47">
        <f>INDEX('[3]3.4.1'!$1:$104,MATCH(AW$4,'[3]3.4.1'!$A:$A,0),MATCH(Summary!$A15,'[3]3.4.1'!$1:$1,0))</f>
        <v>64711.344</v>
      </c>
      <c r="AX15" s="47">
        <f>INDEX('[3]3.4.1'!$1:$104,MATCH(AX$4,'[3]3.4.1'!$A:$A,0),MATCH(Summary!$B15,'[3]3.4.1'!$1:$1,0))</f>
        <v>159163.174</v>
      </c>
      <c r="AY15" s="47">
        <f>INDEX('[3]3.4.1'!$1:$104,MATCH(AY$4,'[3]3.4.1'!$A:$A,0),MATCH(Summary!$C15,'[3]3.4.1'!$1:$1,0))</f>
        <v>223874.518</v>
      </c>
      <c r="AZ15" s="47">
        <f>INDEX('[3]3.4.1'!$1:$104,MATCH(AZ$4,'[3]3.4.1'!$A:$A,0),MATCH(Summary!$A15,'[3]3.4.1'!$1:$1,0))</f>
        <v>60444.762</v>
      </c>
      <c r="BA15" s="47">
        <f>INDEX('[3]3.4.1'!$1:$104,MATCH(BA$4,'[3]3.4.1'!$A:$A,0),MATCH(Summary!$B15,'[3]3.4.1'!$1:$1,0))</f>
        <v>171303.015</v>
      </c>
      <c r="BB15" s="47">
        <f>INDEX('[3]3.4.1'!$1:$104,MATCH(BB$4,'[3]3.4.1'!$A:$A,0),MATCH(Summary!$C15,'[3]3.4.1'!$1:$1,0))</f>
        <v>231747.777</v>
      </c>
      <c r="BC15" s="47">
        <f>INDEX('[3]3.4.1'!$1:$104,MATCH(BC$4,'[3]3.4.1'!$A:$A,0),MATCH(Summary!$A15,'[3]3.4.1'!$1:$1,0))</f>
        <v>55411.698</v>
      </c>
      <c r="BD15" s="47">
        <f>INDEX('[3]3.4.1'!$1:$104,MATCH(BD$4,'[3]3.4.1'!$A:$A,0),MATCH(Summary!$B15,'[3]3.4.1'!$1:$1,0))</f>
        <v>149701.379</v>
      </c>
      <c r="BE15" s="47">
        <f>INDEX('[3]3.4.1'!$1:$104,MATCH(BE$4,'[3]3.4.1'!$A:$A,0),MATCH(Summary!$C15,'[3]3.4.1'!$1:$1,0))</f>
        <v>205113.077</v>
      </c>
      <c r="BF15" s="47">
        <f>INDEX('[3]3.4.1'!$1:$104,MATCH(BF$4,'[3]3.4.1'!$A:$A,0),MATCH(Summary!$A15,'[3]3.4.1'!$1:$1,0))</f>
        <v>58068.637</v>
      </c>
      <c r="BG15" s="47">
        <f>INDEX('[3]3.4.1'!$1:$104,MATCH(BG$4,'[3]3.4.1'!$A:$A,0),MATCH(Summary!$B15,'[3]3.4.1'!$1:$1,0))</f>
        <v>189414.864</v>
      </c>
      <c r="BH15" s="47">
        <f>INDEX('[3]3.4.1'!$1:$104,MATCH(BH$4,'[3]3.4.1'!$A:$A,0),MATCH(Summary!$C15,'[3]3.4.1'!$1:$1,0))</f>
        <v>247483.501</v>
      </c>
      <c r="BI15" s="47">
        <f>INDEX('[3]3.4.1'!$1:$104,MATCH(BI$4,'[3]3.4.1'!$A:$A,0),MATCH(Summary!$A15,'[3]3.4.1'!$1:$1,0))</f>
        <v>55055.337</v>
      </c>
      <c r="BJ15" s="47">
        <f>INDEX('[3]3.4.1'!$1:$104,MATCH(BJ$4,'[3]3.4.1'!$A:$A,0),MATCH(Summary!$B15,'[3]3.4.1'!$1:$1,0))</f>
        <v>236330.956</v>
      </c>
      <c r="BK15" s="47">
        <f>INDEX('[3]3.4.1'!$1:$104,MATCH(BK$4,'[3]3.4.1'!$A:$A,0),MATCH(Summary!$C15,'[3]3.4.1'!$1:$1,0))</f>
        <v>291386.293</v>
      </c>
    </row>
    <row r="16" s="1" customFormat="1" ht="16.5" customHeight="1" outlineLevel="1" spans="1:63">
      <c r="A16" s="22" t="s">
        <v>387</v>
      </c>
      <c r="B16" s="22" t="s">
        <v>388</v>
      </c>
      <c r="C16" s="22" t="s">
        <v>389</v>
      </c>
      <c r="D16" s="42"/>
      <c r="E16" s="43" t="s">
        <v>390</v>
      </c>
      <c r="F16" s="42"/>
      <c r="G16" s="44" t="s">
        <v>391</v>
      </c>
      <c r="H16" s="45">
        <f t="shared" si="9"/>
        <v>0.0160617082910117</v>
      </c>
      <c r="I16" s="46">
        <f t="shared" si="10"/>
        <v>0.2392194178633</v>
      </c>
      <c r="J16" s="47">
        <f>INDEX('[3]3.4.1'!$1:$104,MATCH(J$4,'[3]3.4.1'!$A:$A,0),MATCH(Summary!$A16,'[3]3.4.1'!$1:$1,0))</f>
        <v>13053.365</v>
      </c>
      <c r="K16" s="47">
        <f>INDEX('[3]3.4.1'!$1:$104,MATCH(K$4,'[3]3.4.1'!$A:$A,0),MATCH(Summary!$B16,'[3]3.4.1'!$1:$1,0))</f>
        <v>158463.417</v>
      </c>
      <c r="L16" s="47">
        <f>INDEX('[3]3.4.1'!$1:$104,MATCH(L$4,'[3]3.4.1'!$A:$A,0),MATCH(Summary!$C16,'[3]3.4.1'!$1:$1,0))</f>
        <v>171516.782</v>
      </c>
      <c r="M16" s="47">
        <f>INDEX('[3]3.4.1'!$1:$104,MATCH(M$4,'[3]3.4.1'!$A:$A,0),MATCH(Summary!$A16,'[3]3.4.1'!$1:$1,0))</f>
        <v>12780.198</v>
      </c>
      <c r="N16" s="47">
        <f>INDEX('[3]3.4.1'!$1:$104,MATCH(N$4,'[3]3.4.1'!$A:$A,0),MATCH(Summary!$B16,'[3]3.4.1'!$1:$1,0))</f>
        <v>160491.836</v>
      </c>
      <c r="O16" s="47">
        <f>INDEX('[3]3.4.1'!$1:$104,MATCH(O$4,'[3]3.4.1'!$A:$A,0),MATCH(Summary!$C16,'[3]3.4.1'!$1:$1,0))</f>
        <v>173272.034</v>
      </c>
      <c r="P16" s="47">
        <f>INDEX('[3]3.4.1'!$1:$104,MATCH(P$4,'[3]3.4.1'!$A:$A,0),MATCH(Summary!$A16,'[3]3.4.1'!$1:$1,0))</f>
        <v>12466.324</v>
      </c>
      <c r="Q16" s="47">
        <f>INDEX('[3]3.4.1'!$1:$104,MATCH(Q$4,'[3]3.4.1'!$A:$A,0),MATCH(Summary!$B16,'[3]3.4.1'!$1:$1,0))</f>
        <v>158653.296</v>
      </c>
      <c r="R16" s="47">
        <f>INDEX('[3]3.4.1'!$1:$104,MATCH(R$4,'[3]3.4.1'!$A:$A,0),MATCH(Summary!$C16,'[3]3.4.1'!$1:$1,0))</f>
        <v>171119.62</v>
      </c>
      <c r="S16" s="47">
        <f>INDEX('[3]3.4.1'!$1:$104,MATCH(S$4,'[3]3.4.1'!$A:$A,0),MATCH(Summary!$A16,'[3]3.4.1'!$1:$1,0))</f>
        <v>11984.01</v>
      </c>
      <c r="T16" s="47">
        <f>INDEX('[3]3.4.1'!$1:$104,MATCH(T$4,'[3]3.4.1'!$A:$A,0),MATCH(Summary!$B16,'[3]3.4.1'!$1:$1,0))</f>
        <v>160556.361</v>
      </c>
      <c r="U16" s="47">
        <f>INDEX('[3]3.4.1'!$1:$104,MATCH(U$4,'[3]3.4.1'!$A:$A,0),MATCH(Summary!$C16,'[3]3.4.1'!$1:$1,0))</f>
        <v>172540.371</v>
      </c>
      <c r="V16" s="47">
        <f>INDEX('[3]3.4.1'!$1:$104,MATCH(V$4,'[3]3.4.1'!$A:$A,0),MATCH(Summary!$A16,'[3]3.4.1'!$1:$1,0))</f>
        <v>11972.022</v>
      </c>
      <c r="W16" s="47">
        <f>INDEX('[3]3.4.1'!$1:$104,MATCH(W$4,'[3]3.4.1'!$A:$A,0),MATCH(Summary!$B16,'[3]3.4.1'!$1:$1,0))</f>
        <v>167767.316</v>
      </c>
      <c r="X16" s="47">
        <f>INDEX('[3]3.4.1'!$1:$104,MATCH(X$4,'[3]3.4.1'!$A:$A,0),MATCH(Summary!$C16,'[3]3.4.1'!$1:$1,0))</f>
        <v>179739.338</v>
      </c>
      <c r="Y16" s="47">
        <f>INDEX('[3]3.4.1'!$1:$104,MATCH(Y$4,'[3]3.4.1'!$A:$A,0),MATCH(Summary!$A16,'[3]3.4.1'!$1:$1,0))</f>
        <v>13041.727</v>
      </c>
      <c r="Z16" s="47">
        <f>INDEX('[3]3.4.1'!$1:$104,MATCH(Z$4,'[3]3.4.1'!$A:$A,0),MATCH(Summary!$B16,'[3]3.4.1'!$1:$1,0))</f>
        <v>126050.452</v>
      </c>
      <c r="AA16" s="47">
        <f>INDEX('[3]3.4.1'!$1:$104,MATCH(AA$4,'[3]3.4.1'!$A:$A,0),MATCH(Summary!$C16,'[3]3.4.1'!$1:$1,0))</f>
        <v>139092.179</v>
      </c>
      <c r="AB16" s="47">
        <f>INDEX('[3]3.4.1'!$1:$104,MATCH(AB$4,'[3]3.4.1'!$A:$A,0),MATCH(Summary!$A16,'[3]3.4.1'!$1:$1,0))</f>
        <v>13924.763</v>
      </c>
      <c r="AC16" s="47">
        <f>INDEX('[3]3.4.1'!$1:$104,MATCH(AC$4,'[3]3.4.1'!$A:$A,0),MATCH(Summary!$B16,'[3]3.4.1'!$1:$1,0))</f>
        <v>121553.739</v>
      </c>
      <c r="AD16" s="47">
        <f>INDEX('[3]3.4.1'!$1:$104,MATCH(AD$4,'[3]3.4.1'!$A:$A,0),MATCH(Summary!$C16,'[3]3.4.1'!$1:$1,0))</f>
        <v>135478.502</v>
      </c>
      <c r="AE16" s="47">
        <f>INDEX('[3]3.4.1'!$1:$104,MATCH(AE$4,'[3]3.4.1'!$A:$A,0),MATCH(Summary!$A16,'[3]3.4.1'!$1:$1,0))</f>
        <v>14415.68</v>
      </c>
      <c r="AF16" s="47">
        <f>INDEX('[3]3.4.1'!$1:$104,MATCH(AF$4,'[3]3.4.1'!$A:$A,0),MATCH(Summary!$B16,'[3]3.4.1'!$1:$1,0))</f>
        <v>134200.049</v>
      </c>
      <c r="AG16" s="47">
        <f>INDEX('[3]3.4.1'!$1:$104,MATCH(AG$4,'[3]3.4.1'!$A:$A,0),MATCH(Summary!$C16,'[3]3.4.1'!$1:$1,0))</f>
        <v>148615.729</v>
      </c>
      <c r="AH16" s="47">
        <f>INDEX('[3]3.4.1'!$1:$104,MATCH(AH$4,'[3]3.4.1'!$A:$A,0),MATCH(Summary!$A16,'[3]3.4.1'!$1:$1,0))</f>
        <v>13974.943</v>
      </c>
      <c r="AI16" s="47">
        <f>INDEX('[3]3.4.1'!$1:$104,MATCH(AI$4,'[3]3.4.1'!$A:$A,0),MATCH(Summary!$B16,'[3]3.4.1'!$1:$1,0))</f>
        <v>116204.607</v>
      </c>
      <c r="AJ16" s="47">
        <f>INDEX('[3]3.4.1'!$1:$104,MATCH(AJ$4,'[3]3.4.1'!$A:$A,0),MATCH(Summary!$C16,'[3]3.4.1'!$1:$1,0))</f>
        <v>130179.55</v>
      </c>
      <c r="AK16" s="47">
        <f>INDEX('[3]3.4.1'!$1:$104,MATCH(AK$4,'[3]3.4.1'!$A:$A,0),MATCH(Summary!$A16,'[3]3.4.1'!$1:$1,0))</f>
        <v>14483.044</v>
      </c>
      <c r="AL16" s="47">
        <f>INDEX('[3]3.4.1'!$1:$104,MATCH(AL$4,'[3]3.4.1'!$A:$A,0),MATCH(Summary!$B16,'[3]3.4.1'!$1:$1,0))</f>
        <v>113621.162</v>
      </c>
      <c r="AM16" s="47">
        <f>INDEX('[3]3.4.1'!$1:$104,MATCH(AM$4,'[3]3.4.1'!$A:$A,0),MATCH(Summary!$C16,'[3]3.4.1'!$1:$1,0))</f>
        <v>128104.206</v>
      </c>
      <c r="AN16" s="47">
        <f>INDEX('[3]3.4.1'!$1:$104,MATCH(AN$4,'[3]3.4.1'!$A:$A,0),MATCH(Summary!$A16,'[3]3.4.1'!$1:$1,0))</f>
        <v>15221.531</v>
      </c>
      <c r="AO16" s="47">
        <f>INDEX('[3]3.4.1'!$1:$104,MATCH(AO$4,'[3]3.4.1'!$A:$A,0),MATCH(Summary!$B16,'[3]3.4.1'!$1:$1,0))</f>
        <v>131263.175</v>
      </c>
      <c r="AP16" s="47">
        <f>INDEX('[3]3.4.1'!$1:$104,MATCH(AP$4,'[3]3.4.1'!$A:$A,0),MATCH(Summary!$C16,'[3]3.4.1'!$1:$1,0))</f>
        <v>146484.706</v>
      </c>
      <c r="AQ16" s="47">
        <f>INDEX('[3]3.4.1'!$1:$104,MATCH(AQ$4,'[3]3.4.1'!$A:$A,0),MATCH(Summary!$A16,'[3]3.4.1'!$1:$1,0))</f>
        <v>15025.371</v>
      </c>
      <c r="AR16" s="47">
        <f>INDEX('[3]3.4.1'!$1:$104,MATCH(AR$4,'[3]3.4.1'!$A:$A,0),MATCH(Summary!$B16,'[3]3.4.1'!$1:$1,0))</f>
        <v>121429.411</v>
      </c>
      <c r="AS16" s="47">
        <f>INDEX('[3]3.4.1'!$1:$104,MATCH(AS$4,'[3]3.4.1'!$A:$A,0),MATCH(Summary!$C16,'[3]3.4.1'!$1:$1,0))</f>
        <v>136454.782</v>
      </c>
      <c r="AT16" s="47">
        <f>INDEX('[3]3.4.1'!$1:$104,MATCH(AT$4,'[3]3.4.1'!$A:$A,0),MATCH(Summary!$A16,'[3]3.4.1'!$1:$1,0))</f>
        <v>14073.304</v>
      </c>
      <c r="AU16" s="47">
        <f>INDEX('[3]3.4.1'!$1:$104,MATCH(AU$4,'[3]3.4.1'!$A:$A,0),MATCH(Summary!$B16,'[3]3.4.1'!$1:$1,0))</f>
        <v>124333.809</v>
      </c>
      <c r="AV16" s="47">
        <f>INDEX('[3]3.4.1'!$1:$104,MATCH(AV$4,'[3]3.4.1'!$A:$A,0),MATCH(Summary!$C16,'[3]3.4.1'!$1:$1,0))</f>
        <v>138407.113</v>
      </c>
      <c r="AW16" s="47">
        <f>INDEX('[3]3.4.1'!$1:$104,MATCH(AW$4,'[3]3.4.1'!$A:$A,0),MATCH(Summary!$A16,'[3]3.4.1'!$1:$1,0))</f>
        <v>13226.637</v>
      </c>
      <c r="AX16" s="47">
        <f>INDEX('[3]3.4.1'!$1:$104,MATCH(AX$4,'[3]3.4.1'!$A:$A,0),MATCH(Summary!$B16,'[3]3.4.1'!$1:$1,0))</f>
        <v>139122.727</v>
      </c>
      <c r="AY16" s="47">
        <f>INDEX('[3]3.4.1'!$1:$104,MATCH(AY$4,'[3]3.4.1'!$A:$A,0),MATCH(Summary!$C16,'[3]3.4.1'!$1:$1,0))</f>
        <v>152349.364</v>
      </c>
      <c r="AZ16" s="47">
        <f>INDEX('[3]3.4.1'!$1:$104,MATCH(AZ$4,'[3]3.4.1'!$A:$A,0),MATCH(Summary!$A16,'[3]3.4.1'!$1:$1,0))</f>
        <v>10821.36</v>
      </c>
      <c r="BA16" s="47">
        <f>INDEX('[3]3.4.1'!$1:$104,MATCH(BA$4,'[3]3.4.1'!$A:$A,0),MATCH(Summary!$B16,'[3]3.4.1'!$1:$1,0))</f>
        <v>138673.731</v>
      </c>
      <c r="BB16" s="47">
        <f>INDEX('[3]3.4.1'!$1:$104,MATCH(BB$4,'[3]3.4.1'!$A:$A,0),MATCH(Summary!$C16,'[3]3.4.1'!$1:$1,0))</f>
        <v>149495.091</v>
      </c>
      <c r="BC16" s="47">
        <f>INDEX('[3]3.4.1'!$1:$104,MATCH(BC$4,'[3]3.4.1'!$A:$A,0),MATCH(Summary!$A16,'[3]3.4.1'!$1:$1,0))</f>
        <v>10577.562</v>
      </c>
      <c r="BD16" s="47">
        <f>INDEX('[3]3.4.1'!$1:$104,MATCH(BD$4,'[3]3.4.1'!$A:$A,0),MATCH(Summary!$B16,'[3]3.4.1'!$1:$1,0))</f>
        <v>148935.23</v>
      </c>
      <c r="BE16" s="47">
        <f>INDEX('[3]3.4.1'!$1:$104,MATCH(BE$4,'[3]3.4.1'!$A:$A,0),MATCH(Summary!$C16,'[3]3.4.1'!$1:$1,0))</f>
        <v>159512.792</v>
      </c>
      <c r="BF16" s="47">
        <f>INDEX('[3]3.4.1'!$1:$104,MATCH(BF$4,'[3]3.4.1'!$A:$A,0),MATCH(Summary!$A16,'[3]3.4.1'!$1:$1,0))</f>
        <v>12622.642</v>
      </c>
      <c r="BG16" s="47">
        <f>INDEX('[3]3.4.1'!$1:$104,MATCH(BG$4,'[3]3.4.1'!$A:$A,0),MATCH(Summary!$B16,'[3]3.4.1'!$1:$1,0))</f>
        <v>159585.632</v>
      </c>
      <c r="BH16" s="47">
        <f>INDEX('[3]3.4.1'!$1:$104,MATCH(BH$4,'[3]3.4.1'!$A:$A,0),MATCH(Summary!$C16,'[3]3.4.1'!$1:$1,0))</f>
        <v>172208.274</v>
      </c>
      <c r="BI16" s="47">
        <f>INDEX('[3]3.4.1'!$1:$104,MATCH(BI$4,'[3]3.4.1'!$A:$A,0),MATCH(Summary!$A16,'[3]3.4.1'!$1:$1,0))</f>
        <v>13888.557</v>
      </c>
      <c r="BJ16" s="47">
        <f>INDEX('[3]3.4.1'!$1:$104,MATCH(BJ$4,'[3]3.4.1'!$A:$A,0),MATCH(Summary!$B16,'[3]3.4.1'!$1:$1,0))</f>
        <v>179755.395</v>
      </c>
      <c r="BK16" s="47">
        <f>INDEX('[3]3.4.1'!$1:$104,MATCH(BK$4,'[3]3.4.1'!$A:$A,0),MATCH(Summary!$C16,'[3]3.4.1'!$1:$1,0))</f>
        <v>193643.952</v>
      </c>
    </row>
    <row r="17" s="1" customFormat="1" ht="16.5" customHeight="1" spans="1:63">
      <c r="A17" s="22" t="s">
        <v>392</v>
      </c>
      <c r="B17" s="22" t="s">
        <v>393</v>
      </c>
      <c r="C17" s="22" t="s">
        <v>394</v>
      </c>
      <c r="D17" s="48"/>
      <c r="E17" s="49" t="s">
        <v>395</v>
      </c>
      <c r="F17" s="48"/>
      <c r="G17" s="48"/>
      <c r="H17" s="50">
        <f t="shared" si="9"/>
        <v>0.709976829075227</v>
      </c>
      <c r="I17" s="51">
        <f t="shared" si="10"/>
        <v>0.0598694989589126</v>
      </c>
      <c r="J17" s="52">
        <f>INDEX('[3]3.4.1'!$1:$104,MATCH(J$4,'[3]3.4.1'!$A:$A,0),MATCH(Summary!$A17,'[3]3.4.1'!$1:$1,0))</f>
        <v>5580470.652</v>
      </c>
      <c r="K17" s="52">
        <f>INDEX('[3]3.4.1'!$1:$104,MATCH(K$4,'[3]3.4.1'!$A:$A,0),MATCH(Summary!$B17,'[3]3.4.1'!$1:$1,0))</f>
        <v>2068567.779</v>
      </c>
      <c r="L17" s="52">
        <f>INDEX('[3]3.4.1'!$1:$104,MATCH(L$4,'[3]3.4.1'!$A:$A,0),MATCH(Summary!$C17,'[3]3.4.1'!$1:$1,0))</f>
        <v>7649038.431</v>
      </c>
      <c r="M17" s="52">
        <f>INDEX('[3]3.4.1'!$1:$104,MATCH(M$4,'[3]3.4.1'!$A:$A,0),MATCH(Summary!$A17,'[3]3.4.1'!$1:$1,0))</f>
        <v>5589675.382</v>
      </c>
      <c r="N17" s="52">
        <f>INDEX('[3]3.4.1'!$1:$104,MATCH(N$4,'[3]3.4.1'!$A:$A,0),MATCH(Summary!$B17,'[3]3.4.1'!$1:$1,0))</f>
        <v>2069480.608</v>
      </c>
      <c r="O17" s="52">
        <f>INDEX('[3]3.4.1'!$1:$104,MATCH(O$4,'[3]3.4.1'!$A:$A,0),MATCH(Summary!$C17,'[3]3.4.1'!$1:$1,0))</f>
        <v>7659155.99</v>
      </c>
      <c r="P17" s="52">
        <f>INDEX('[3]3.4.1'!$1:$104,MATCH(P$4,'[3]3.4.1'!$A:$A,0),MATCH(Summary!$A17,'[3]3.4.1'!$1:$1,0))</f>
        <v>5488152.224</v>
      </c>
      <c r="Q17" s="52">
        <f>INDEX('[3]3.4.1'!$1:$104,MATCH(Q$4,'[3]3.4.1'!$A:$A,0),MATCH(Summary!$B17,'[3]3.4.1'!$1:$1,0))</f>
        <v>2078291.039</v>
      </c>
      <c r="R17" s="52">
        <f>INDEX('[3]3.4.1'!$1:$104,MATCH(R$4,'[3]3.4.1'!$A:$A,0),MATCH(Summary!$C17,'[3]3.4.1'!$1:$1,0))</f>
        <v>7566443.263</v>
      </c>
      <c r="S17" s="52">
        <f>INDEX('[3]3.4.1'!$1:$104,MATCH(S$4,'[3]3.4.1'!$A:$A,0),MATCH(Summary!$A17,'[3]3.4.1'!$1:$1,0))</f>
        <v>5472828.586</v>
      </c>
      <c r="T17" s="52">
        <f>INDEX('[3]3.4.1'!$1:$104,MATCH(T$4,'[3]3.4.1'!$A:$A,0),MATCH(Summary!$B17,'[3]3.4.1'!$1:$1,0))</f>
        <v>1990899.937</v>
      </c>
      <c r="U17" s="52">
        <f>INDEX('[3]3.4.1'!$1:$104,MATCH(U$4,'[3]3.4.1'!$A:$A,0),MATCH(Summary!$C17,'[3]3.4.1'!$1:$1,0))</f>
        <v>7463728.523</v>
      </c>
      <c r="V17" s="52">
        <f>INDEX('[3]3.4.1'!$1:$104,MATCH(V$4,'[3]3.4.1'!$A:$A,0),MATCH(Summary!$A17,'[3]3.4.1'!$1:$1,0))</f>
        <v>5461882.463</v>
      </c>
      <c r="W17" s="52">
        <f>INDEX('[3]3.4.1'!$1:$104,MATCH(W$4,'[3]3.4.1'!$A:$A,0),MATCH(Summary!$B17,'[3]3.4.1'!$1:$1,0))</f>
        <v>1978438.212</v>
      </c>
      <c r="X17" s="52">
        <f>INDEX('[3]3.4.1'!$1:$104,MATCH(X$4,'[3]3.4.1'!$A:$A,0),MATCH(Summary!$C17,'[3]3.4.1'!$1:$1,0))</f>
        <v>7440320.675</v>
      </c>
      <c r="Y17" s="52">
        <f>INDEX('[3]3.4.1'!$1:$104,MATCH(Y$4,'[3]3.4.1'!$A:$A,0),MATCH(Summary!$A17,'[3]3.4.1'!$1:$1,0))</f>
        <v>5431952.463</v>
      </c>
      <c r="Z17" s="52">
        <f>INDEX('[3]3.4.1'!$1:$104,MATCH(Z$4,'[3]3.4.1'!$A:$A,0),MATCH(Summary!$B17,'[3]3.4.1'!$1:$1,0))</f>
        <v>1920630.31</v>
      </c>
      <c r="AA17" s="52">
        <f>INDEX('[3]3.4.1'!$1:$104,MATCH(AA$4,'[3]3.4.1'!$A:$A,0),MATCH(Summary!$C17,'[3]3.4.1'!$1:$1,0))</f>
        <v>7352582.773</v>
      </c>
      <c r="AB17" s="52">
        <f>INDEX('[3]3.4.1'!$1:$104,MATCH(AB$4,'[3]3.4.1'!$A:$A,0),MATCH(Summary!$A17,'[3]3.4.1'!$1:$1,0))</f>
        <v>5430504.176</v>
      </c>
      <c r="AC17" s="52">
        <f>INDEX('[3]3.4.1'!$1:$104,MATCH(AC$4,'[3]3.4.1'!$A:$A,0),MATCH(Summary!$B17,'[3]3.4.1'!$1:$1,0))</f>
        <v>1898592.291</v>
      </c>
      <c r="AD17" s="52">
        <f>INDEX('[3]3.4.1'!$1:$104,MATCH(AD$4,'[3]3.4.1'!$A:$A,0),MATCH(Summary!$C17,'[3]3.4.1'!$1:$1,0))</f>
        <v>7329096.467</v>
      </c>
      <c r="AE17" s="52">
        <f>INDEX('[3]3.4.1'!$1:$104,MATCH(AE$4,'[3]3.4.1'!$A:$A,0),MATCH(Summary!$A17,'[3]3.4.1'!$1:$1,0))</f>
        <v>5408698.15</v>
      </c>
      <c r="AF17" s="52">
        <f>INDEX('[3]3.4.1'!$1:$104,MATCH(AF$4,'[3]3.4.1'!$A:$A,0),MATCH(Summary!$B17,'[3]3.4.1'!$1:$1,0))</f>
        <v>1835826.71</v>
      </c>
      <c r="AG17" s="52">
        <f>INDEX('[3]3.4.1'!$1:$104,MATCH(AG$4,'[3]3.4.1'!$A:$A,0),MATCH(Summary!$C17,'[3]3.4.1'!$1:$1,0))</f>
        <v>7244524.86</v>
      </c>
      <c r="AH17" s="52">
        <f>INDEX('[3]3.4.1'!$1:$104,MATCH(AH$4,'[3]3.4.1'!$A:$A,0),MATCH(Summary!$A17,'[3]3.4.1'!$1:$1,0))</f>
        <v>5391482.45</v>
      </c>
      <c r="AI17" s="52">
        <f>INDEX('[3]3.4.1'!$1:$104,MATCH(AI$4,'[3]3.4.1'!$A:$A,0),MATCH(Summary!$B17,'[3]3.4.1'!$1:$1,0))</f>
        <v>1811565.951</v>
      </c>
      <c r="AJ17" s="52">
        <f>INDEX('[3]3.4.1'!$1:$104,MATCH(AJ$4,'[3]3.4.1'!$A:$A,0),MATCH(Summary!$C17,'[3]3.4.1'!$1:$1,0))</f>
        <v>7203048.401</v>
      </c>
      <c r="AK17" s="52">
        <f>INDEX('[3]3.4.1'!$1:$104,MATCH(AK$4,'[3]3.4.1'!$A:$A,0),MATCH(Summary!$A17,'[3]3.4.1'!$1:$1,0))</f>
        <v>5414751.567</v>
      </c>
      <c r="AL17" s="52">
        <f>INDEX('[3]3.4.1'!$1:$104,MATCH(AL$4,'[3]3.4.1'!$A:$A,0),MATCH(Summary!$B17,'[3]3.4.1'!$1:$1,0))</f>
        <v>1797183.229</v>
      </c>
      <c r="AM17" s="52">
        <f>INDEX('[3]3.4.1'!$1:$104,MATCH(AM$4,'[3]3.4.1'!$A:$A,0),MATCH(Summary!$C17,'[3]3.4.1'!$1:$1,0))</f>
        <v>7211934.796</v>
      </c>
      <c r="AN17" s="52">
        <f>INDEX('[3]3.4.1'!$1:$104,MATCH(AN$4,'[3]3.4.1'!$A:$A,0),MATCH(Summary!$A17,'[3]3.4.1'!$1:$1,0))</f>
        <v>5452569.993</v>
      </c>
      <c r="AO17" s="52">
        <f>INDEX('[3]3.4.1'!$1:$104,MATCH(AO$4,'[3]3.4.1'!$A:$A,0),MATCH(Summary!$B17,'[3]3.4.1'!$1:$1,0))</f>
        <v>1790930.461</v>
      </c>
      <c r="AP17" s="52">
        <f>INDEX('[3]3.4.1'!$1:$104,MATCH(AP$4,'[3]3.4.1'!$A:$A,0),MATCH(Summary!$C17,'[3]3.4.1'!$1:$1,0))</f>
        <v>7243500.454</v>
      </c>
      <c r="AQ17" s="52">
        <f>INDEX('[3]3.4.1'!$1:$104,MATCH(AQ$4,'[3]3.4.1'!$A:$A,0),MATCH(Summary!$A17,'[3]3.4.1'!$1:$1,0))</f>
        <v>5433198.161</v>
      </c>
      <c r="AR17" s="52">
        <f>INDEX('[3]3.4.1'!$1:$104,MATCH(AR$4,'[3]3.4.1'!$A:$A,0),MATCH(Summary!$B17,'[3]3.4.1'!$1:$1,0))</f>
        <v>1786769.091</v>
      </c>
      <c r="AS17" s="52">
        <f>INDEX('[3]3.4.1'!$1:$104,MATCH(AS$4,'[3]3.4.1'!$A:$A,0),MATCH(Summary!$C17,'[3]3.4.1'!$1:$1,0))</f>
        <v>7219967.252</v>
      </c>
      <c r="AT17" s="52">
        <f>INDEX('[3]3.4.1'!$1:$104,MATCH(AT$4,'[3]3.4.1'!$A:$A,0),MATCH(Summary!$A17,'[3]3.4.1'!$1:$1,0))</f>
        <v>5429428.707</v>
      </c>
      <c r="AU17" s="52">
        <f>INDEX('[3]3.4.1'!$1:$104,MATCH(AU$4,'[3]3.4.1'!$A:$A,0),MATCH(Summary!$B17,'[3]3.4.1'!$1:$1,0))</f>
        <v>1787533.795</v>
      </c>
      <c r="AV17" s="52">
        <f>INDEX('[3]3.4.1'!$1:$104,MATCH(AV$4,'[3]3.4.1'!$A:$A,0),MATCH(Summary!$C17,'[3]3.4.1'!$1:$1,0))</f>
        <v>7216962.502</v>
      </c>
      <c r="AW17" s="52">
        <f>INDEX('[3]3.4.1'!$1:$104,MATCH(AW$4,'[3]3.4.1'!$A:$A,0),MATCH(Summary!$A17,'[3]3.4.1'!$1:$1,0))</f>
        <v>5464932.407</v>
      </c>
      <c r="AX17" s="52">
        <f>INDEX('[3]3.4.1'!$1:$104,MATCH(AX$4,'[3]3.4.1'!$A:$A,0),MATCH(Summary!$B17,'[3]3.4.1'!$1:$1,0))</f>
        <v>1808945.155</v>
      </c>
      <c r="AY17" s="52">
        <f>INDEX('[3]3.4.1'!$1:$104,MATCH(AY$4,'[3]3.4.1'!$A:$A,0),MATCH(Summary!$C17,'[3]3.4.1'!$1:$1,0))</f>
        <v>7273877.562</v>
      </c>
      <c r="AZ17" s="52">
        <f>INDEX('[3]3.4.1'!$1:$104,MATCH(AZ$4,'[3]3.4.1'!$A:$A,0),MATCH(Summary!$A17,'[3]3.4.1'!$1:$1,0))</f>
        <v>5442170.081</v>
      </c>
      <c r="BA17" s="52">
        <f>INDEX('[3]3.4.1'!$1:$104,MATCH(BA$4,'[3]3.4.1'!$A:$A,0),MATCH(Summary!$B17,'[3]3.4.1'!$1:$1,0))</f>
        <v>1666569.257</v>
      </c>
      <c r="BB17" s="52">
        <f>INDEX('[3]3.4.1'!$1:$104,MATCH(BB$4,'[3]3.4.1'!$A:$A,0),MATCH(Summary!$C17,'[3]3.4.1'!$1:$1,0))</f>
        <v>7108739.338</v>
      </c>
      <c r="BC17" s="52">
        <f>INDEX('[3]3.4.1'!$1:$104,MATCH(BC$4,'[3]3.4.1'!$A:$A,0),MATCH(Summary!$A17,'[3]3.4.1'!$1:$1,0))</f>
        <v>5636493.202</v>
      </c>
      <c r="BD17" s="52">
        <f>INDEX('[3]3.4.1'!$1:$104,MATCH(BD$4,'[3]3.4.1'!$A:$A,0),MATCH(Summary!$B17,'[3]3.4.1'!$1:$1,0))</f>
        <v>1626831.815</v>
      </c>
      <c r="BE17" s="52">
        <f>INDEX('[3]3.4.1'!$1:$104,MATCH(BE$4,'[3]3.4.1'!$A:$A,0),MATCH(Summary!$C17,'[3]3.4.1'!$1:$1,0))</f>
        <v>7263325.017</v>
      </c>
      <c r="BF17" s="52">
        <f>INDEX('[3]3.4.1'!$1:$104,MATCH(BF$4,'[3]3.4.1'!$A:$A,0),MATCH(Summary!$A17,'[3]3.4.1'!$1:$1,0))</f>
        <v>5648487.72</v>
      </c>
      <c r="BG17" s="52">
        <f>INDEX('[3]3.4.1'!$1:$104,MATCH(BG$4,'[3]3.4.1'!$A:$A,0),MATCH(Summary!$B17,'[3]3.4.1'!$1:$1,0))</f>
        <v>1642161.107</v>
      </c>
      <c r="BH17" s="52">
        <f>INDEX('[3]3.4.1'!$1:$104,MATCH(BH$4,'[3]3.4.1'!$A:$A,0),MATCH(Summary!$C17,'[3]3.4.1'!$1:$1,0))</f>
        <v>7290648.827</v>
      </c>
      <c r="BI17" s="52">
        <f>INDEX('[3]3.4.1'!$1:$104,MATCH(BI$4,'[3]3.4.1'!$A:$A,0),MATCH(Summary!$A17,'[3]3.4.1'!$1:$1,0))</f>
        <v>5468186.189</v>
      </c>
      <c r="BJ17" s="52">
        <f>INDEX('[3]3.4.1'!$1:$104,MATCH(BJ$4,'[3]3.4.1'!$A:$A,0),MATCH(Summary!$B17,'[3]3.4.1'!$1:$1,0))</f>
        <v>1759079.069</v>
      </c>
      <c r="BK17" s="52">
        <f>INDEX('[3]3.4.1'!$1:$104,MATCH(BK$4,'[3]3.4.1'!$A:$A,0),MATCH(Summary!$C17,'[3]3.4.1'!$1:$1,0))</f>
        <v>7227265.258</v>
      </c>
    </row>
    <row r="18" s="2" customFormat="1" ht="16.5" customHeight="1" outlineLevel="1" spans="1:63">
      <c r="A18" s="22"/>
      <c r="B18" s="22"/>
      <c r="C18" s="22" t="s">
        <v>396</v>
      </c>
      <c r="D18" s="53"/>
      <c r="E18" s="53"/>
      <c r="F18" s="53" t="s">
        <v>103</v>
      </c>
      <c r="G18" s="53" t="s">
        <v>397</v>
      </c>
      <c r="H18" s="54">
        <f t="shared" si="9"/>
        <v>0.0337075904984425</v>
      </c>
      <c r="I18" s="55" t="str">
        <f t="shared" si="10"/>
        <v/>
      </c>
      <c r="J18" s="56"/>
      <c r="K18" s="56"/>
      <c r="L18" s="56" t="str">
        <f>_xlfn.IFNA(INDEX('[3]3.5.1'!$1:$104,MATCH(L$4,'[3]3.5.1'!$A:$A,0),MATCH(Summary!$C18,'[3]3.5.1'!$1:$1,0)),"")</f>
        <v/>
      </c>
      <c r="M18" s="56"/>
      <c r="N18" s="56"/>
      <c r="O18" s="56">
        <f>_xlfn.IFNA(INDEX('[3]3.5.1'!$1:$104,MATCH(O$4,'[3]3.5.1'!$A:$A,0),MATCH(Summary!$C18,'[3]3.5.1'!$1:$1,0)),"")</f>
        <v>363633.971</v>
      </c>
      <c r="P18" s="56"/>
      <c r="Q18" s="56"/>
      <c r="R18" s="56" t="str">
        <f>_xlfn.IFNA(INDEX('[3]3.5.1'!$1:$104,MATCH(R$4,'[3]3.5.1'!$A:$A,0),MATCH(Summary!$C18,'[3]3.5.1'!$1:$1,0)),"")</f>
        <v/>
      </c>
      <c r="S18" s="56"/>
      <c r="T18" s="56"/>
      <c r="U18" s="56" t="str">
        <f>_xlfn.IFNA(INDEX('[3]3.5.1'!$1:$104,MATCH(U$4,'[3]3.5.1'!$A:$A,0),MATCH(Summary!$C18,'[3]3.5.1'!$1:$1,0)),"")</f>
        <v/>
      </c>
      <c r="V18" s="56"/>
      <c r="W18" s="56"/>
      <c r="X18" s="56">
        <f>_xlfn.IFNA(INDEX('[3]3.5.1'!$1:$104,MATCH(X$4,'[3]3.5.1'!$A:$A,0),MATCH(Summary!$C18,'[3]3.5.1'!$1:$1,0)),"")</f>
        <v>328188.241</v>
      </c>
      <c r="Y18" s="56"/>
      <c r="Z18" s="56"/>
      <c r="AA18" s="56" t="str">
        <f>_xlfn.IFNA(INDEX('[3]3.5.1'!$1:$104,MATCH(AA$4,'[3]3.5.1'!$A:$A,0),MATCH(Summary!$C18,'[3]3.5.1'!$1:$1,0)),"")</f>
        <v/>
      </c>
      <c r="AB18" s="56"/>
      <c r="AC18" s="56"/>
      <c r="AD18" s="56" t="str">
        <f>_xlfn.IFNA(INDEX('[3]3.5.1'!$1:$104,MATCH(AD$4,'[3]3.5.1'!$A:$A,0),MATCH(Summary!$C18,'[3]3.5.1'!$1:$1,0)),"")</f>
        <v/>
      </c>
      <c r="AE18" s="56"/>
      <c r="AF18" s="56"/>
      <c r="AG18" s="56">
        <f>_xlfn.IFNA(INDEX('[3]3.5.1'!$1:$104,MATCH(AG$4,'[3]3.5.1'!$A:$A,0),MATCH(Summary!$C18,'[3]3.5.1'!$1:$1,0)),"")</f>
        <v>306596.643</v>
      </c>
      <c r="AH18" s="56"/>
      <c r="AI18" s="56"/>
      <c r="AJ18" s="56" t="str">
        <f>_xlfn.IFNA(INDEX('[3]3.5.1'!$1:$104,MATCH(AJ$4,'[3]3.5.1'!$A:$A,0),MATCH(Summary!$C18,'[3]3.5.1'!$1:$1,0)),"")</f>
        <v/>
      </c>
      <c r="AK18" s="56"/>
      <c r="AL18" s="56"/>
      <c r="AM18" s="56" t="str">
        <f>_xlfn.IFNA(INDEX('[3]3.5.1'!$1:$104,MATCH(AM$4,'[3]3.5.1'!$A:$A,0),MATCH(Summary!$C18,'[3]3.5.1'!$1:$1,0)),"")</f>
        <v/>
      </c>
      <c r="AN18" s="56"/>
      <c r="AO18" s="56"/>
      <c r="AP18" s="56">
        <f>_xlfn.IFNA(INDEX('[3]3.5.1'!$1:$104,MATCH(AP$4,'[3]3.5.1'!$A:$A,0),MATCH(Summary!$C18,'[3]3.5.1'!$1:$1,0)),"")</f>
        <v>322774.747</v>
      </c>
      <c r="AQ18" s="56"/>
      <c r="AR18" s="56"/>
      <c r="AS18" s="56" t="str">
        <f>_xlfn.IFNA(INDEX('[3]3.5.1'!$1:$104,MATCH(AS$4,'[3]3.5.1'!$A:$A,0),MATCH(Summary!$C18,'[3]3.5.1'!$1:$1,0)),"")</f>
        <v/>
      </c>
      <c r="AT18" s="56"/>
      <c r="AU18" s="56"/>
      <c r="AV18" s="56" t="str">
        <f>_xlfn.IFNA(INDEX('[3]3.5.1'!$1:$104,MATCH(AV$4,'[3]3.5.1'!$A:$A,0),MATCH(Summary!$C18,'[3]3.5.1'!$1:$1,0)),"")</f>
        <v/>
      </c>
      <c r="AW18" s="56"/>
      <c r="AX18" s="56"/>
      <c r="AY18" s="56">
        <f>_xlfn.IFNA(INDEX('[3]3.5.1'!$1:$104,MATCH(AY$4,'[3]3.5.1'!$A:$A,0),MATCH(Summary!$C18,'[3]3.5.1'!$1:$1,0)),"")</f>
        <v>324870.771</v>
      </c>
      <c r="AZ18" s="56"/>
      <c r="BA18" s="56"/>
      <c r="BB18" s="56">
        <f>_xlfn.IFNA(INDEX('[3]3.5.1'!$1:$104,MATCH(BB$4,'[3]3.5.1'!$A:$A,0),MATCH(Summary!$C18,'[3]3.5.1'!$1:$1,0)),"")</f>
        <v>295132.542</v>
      </c>
      <c r="BC18" s="56"/>
      <c r="BD18" s="56"/>
      <c r="BE18" s="56" t="str">
        <f>_xlfn.IFNA(INDEX('[3]3.5.1'!$1:$104,MATCH(BE$4,'[3]3.5.1'!$A:$A,0),MATCH(Summary!$C18,'[3]3.5.1'!$1:$1,0)),"")</f>
        <v/>
      </c>
      <c r="BF18" s="56"/>
      <c r="BG18" s="56"/>
      <c r="BH18" s="56" t="str">
        <f>_xlfn.IFNA(INDEX('[3]3.5.1'!$1:$104,MATCH(BH$4,'[3]3.5.1'!$A:$A,0),MATCH(Summary!$C18,'[3]3.5.1'!$1:$1,0)),"")</f>
        <v/>
      </c>
      <c r="BI18" s="56"/>
      <c r="BJ18" s="56"/>
      <c r="BK18" s="56" t="str">
        <f>_xlfn.IFNA(INDEX('[3]3.5.1'!$1:$104,MATCH(BK$4,'[3]3.5.1'!$A:$A,0),MATCH(Summary!$C18,'[3]3.5.1'!$1:$1,0)),"")</f>
        <v/>
      </c>
    </row>
    <row r="19" s="1" customFormat="1" ht="16.5" hidden="1" customHeight="1" outlineLevel="2" spans="1:63">
      <c r="A19" s="22"/>
      <c r="B19" s="22"/>
      <c r="C19" s="22" t="s">
        <v>398</v>
      </c>
      <c r="D19" s="42"/>
      <c r="E19" s="42"/>
      <c r="F19" s="57" t="s">
        <v>399</v>
      </c>
      <c r="G19" s="58" t="s">
        <v>400</v>
      </c>
      <c r="H19" s="45">
        <f t="shared" si="9"/>
        <v>0.000983313361863541</v>
      </c>
      <c r="I19" s="46" t="str">
        <f t="shared" si="10"/>
        <v/>
      </c>
      <c r="J19" s="47"/>
      <c r="K19" s="47"/>
      <c r="L19" s="47" t="str">
        <f>_xlfn.IFNA(INDEX('[3]3.5.1'!$1:$104,MATCH(L$4,'[3]3.5.1'!$A:$A,0),MATCH(Summary!$C19,'[3]3.5.1'!$1:$1,0)),"")</f>
        <v/>
      </c>
      <c r="M19" s="47"/>
      <c r="N19" s="47"/>
      <c r="O19" s="47">
        <f>_xlfn.IFNA(INDEX('[3]3.5.1'!$1:$104,MATCH(O$4,'[3]3.5.1'!$A:$A,0),MATCH(Summary!$C19,'[3]3.5.1'!$1:$1,0)),"")</f>
        <v>10607.882</v>
      </c>
      <c r="P19" s="47"/>
      <c r="Q19" s="47"/>
      <c r="R19" s="47" t="str">
        <f>_xlfn.IFNA(INDEX('[3]3.5.1'!$1:$104,MATCH(R$4,'[3]3.5.1'!$A:$A,0),MATCH(Summary!$C19,'[3]3.5.1'!$1:$1,0)),"")</f>
        <v/>
      </c>
      <c r="S19" s="47"/>
      <c r="T19" s="47"/>
      <c r="U19" s="47" t="str">
        <f>_xlfn.IFNA(INDEX('[3]3.5.1'!$1:$104,MATCH(U$4,'[3]3.5.1'!$A:$A,0),MATCH(Summary!$C19,'[3]3.5.1'!$1:$1,0)),"")</f>
        <v/>
      </c>
      <c r="V19" s="47"/>
      <c r="W19" s="47"/>
      <c r="X19" s="47">
        <f>_xlfn.IFNA(INDEX('[3]3.5.1'!$1:$104,MATCH(X$4,'[3]3.5.1'!$A:$A,0),MATCH(Summary!$C19,'[3]3.5.1'!$1:$1,0)),"")</f>
        <v>10407.843</v>
      </c>
      <c r="Y19" s="47"/>
      <c r="Z19" s="47"/>
      <c r="AA19" s="47" t="str">
        <f>_xlfn.IFNA(INDEX('[3]3.5.1'!$1:$104,MATCH(AA$4,'[3]3.5.1'!$A:$A,0),MATCH(Summary!$C19,'[3]3.5.1'!$1:$1,0)),"")</f>
        <v/>
      </c>
      <c r="AB19" s="47"/>
      <c r="AC19" s="47"/>
      <c r="AD19" s="47" t="str">
        <f>_xlfn.IFNA(INDEX('[3]3.5.1'!$1:$104,MATCH(AD$4,'[3]3.5.1'!$A:$A,0),MATCH(Summary!$C19,'[3]3.5.1'!$1:$1,0)),"")</f>
        <v/>
      </c>
      <c r="AE19" s="47"/>
      <c r="AF19" s="47"/>
      <c r="AG19" s="47">
        <f>_xlfn.IFNA(INDEX('[3]3.5.1'!$1:$104,MATCH(AG$4,'[3]3.5.1'!$A:$A,0),MATCH(Summary!$C19,'[3]3.5.1'!$1:$1,0)),"")</f>
        <v>10579.608</v>
      </c>
      <c r="AH19" s="47"/>
      <c r="AI19" s="47"/>
      <c r="AJ19" s="47" t="str">
        <f>_xlfn.IFNA(INDEX('[3]3.5.1'!$1:$104,MATCH(AJ$4,'[3]3.5.1'!$A:$A,0),MATCH(Summary!$C19,'[3]3.5.1'!$1:$1,0)),"")</f>
        <v/>
      </c>
      <c r="AK19" s="47"/>
      <c r="AL19" s="47"/>
      <c r="AM19" s="47" t="str">
        <f>_xlfn.IFNA(INDEX('[3]3.5.1'!$1:$104,MATCH(AM$4,'[3]3.5.1'!$A:$A,0),MATCH(Summary!$C19,'[3]3.5.1'!$1:$1,0)),"")</f>
        <v/>
      </c>
      <c r="AN19" s="47"/>
      <c r="AO19" s="47"/>
      <c r="AP19" s="47">
        <f>_xlfn.IFNA(INDEX('[3]3.5.1'!$1:$104,MATCH(AP$4,'[3]3.5.1'!$A:$A,0),MATCH(Summary!$C19,'[3]3.5.1'!$1:$1,0)),"")</f>
        <v>10888.719</v>
      </c>
      <c r="AQ19" s="47"/>
      <c r="AR19" s="47"/>
      <c r="AS19" s="47" t="str">
        <f>_xlfn.IFNA(INDEX('[3]3.5.1'!$1:$104,MATCH(AS$4,'[3]3.5.1'!$A:$A,0),MATCH(Summary!$C19,'[3]3.5.1'!$1:$1,0)),"")</f>
        <v/>
      </c>
      <c r="AT19" s="47"/>
      <c r="AU19" s="47"/>
      <c r="AV19" s="47" t="str">
        <f>_xlfn.IFNA(INDEX('[3]3.5.1'!$1:$104,MATCH(AV$4,'[3]3.5.1'!$A:$A,0),MATCH(Summary!$C19,'[3]3.5.1'!$1:$1,0)),"")</f>
        <v/>
      </c>
      <c r="AW19" s="47"/>
      <c r="AX19" s="47"/>
      <c r="AY19" s="47">
        <f>_xlfn.IFNA(INDEX('[3]3.5.1'!$1:$104,MATCH(AY$4,'[3]3.5.1'!$A:$A,0),MATCH(Summary!$C19,'[3]3.5.1'!$1:$1,0)),"")</f>
        <v>10105.352</v>
      </c>
      <c r="AZ19" s="47"/>
      <c r="BA19" s="47"/>
      <c r="BB19" s="47">
        <f>_xlfn.IFNA(INDEX('[3]3.5.1'!$1:$104,MATCH(BB$4,'[3]3.5.1'!$A:$A,0),MATCH(Summary!$C19,'[3]3.5.1'!$1:$1,0)),"")</f>
        <v>12543.956</v>
      </c>
      <c r="BC19" s="47"/>
      <c r="BD19" s="47"/>
      <c r="BE19" s="47" t="str">
        <f>_xlfn.IFNA(INDEX('[3]3.5.1'!$1:$104,MATCH(BE$4,'[3]3.5.1'!$A:$A,0),MATCH(Summary!$C19,'[3]3.5.1'!$1:$1,0)),"")</f>
        <v/>
      </c>
      <c r="BF19" s="47"/>
      <c r="BG19" s="47"/>
      <c r="BH19" s="47" t="str">
        <f>_xlfn.IFNA(INDEX('[3]3.5.1'!$1:$104,MATCH(BH$4,'[3]3.5.1'!$A:$A,0),MATCH(Summary!$C19,'[3]3.5.1'!$1:$1,0)),"")</f>
        <v/>
      </c>
      <c r="BI19" s="47"/>
      <c r="BJ19" s="47"/>
      <c r="BK19" s="47" t="str">
        <f>_xlfn.IFNA(INDEX('[3]3.5.1'!$1:$104,MATCH(BK$4,'[3]3.5.1'!$A:$A,0),MATCH(Summary!$C19,'[3]3.5.1'!$1:$1,0)),"")</f>
        <v/>
      </c>
    </row>
    <row r="20" s="1" customFormat="1" ht="16.5" hidden="1" customHeight="1" outlineLevel="2" spans="1:63">
      <c r="A20" s="22"/>
      <c r="B20" s="22"/>
      <c r="C20" s="22" t="s">
        <v>401</v>
      </c>
      <c r="D20" s="42"/>
      <c r="E20" s="42"/>
      <c r="F20" s="57" t="s">
        <v>402</v>
      </c>
      <c r="G20" s="58" t="s">
        <v>403</v>
      </c>
      <c r="H20" s="45">
        <f t="shared" si="9"/>
        <v>0.00290580914358769</v>
      </c>
      <c r="I20" s="46" t="str">
        <f t="shared" si="10"/>
        <v/>
      </c>
      <c r="J20" s="47"/>
      <c r="K20" s="47"/>
      <c r="L20" s="47" t="str">
        <f>_xlfn.IFNA(INDEX('[3]3.5.1'!$1:$104,MATCH(L$4,'[3]3.5.1'!$A:$A,0),MATCH(Summary!$C20,'[3]3.5.1'!$1:$1,0)),"")</f>
        <v/>
      </c>
      <c r="M20" s="47"/>
      <c r="N20" s="47"/>
      <c r="O20" s="47">
        <f>_xlfn.IFNA(INDEX('[3]3.5.1'!$1:$104,MATCH(O$4,'[3]3.5.1'!$A:$A,0),MATCH(Summary!$C20,'[3]3.5.1'!$1:$1,0)),"")</f>
        <v>31347.566</v>
      </c>
      <c r="P20" s="47"/>
      <c r="Q20" s="47"/>
      <c r="R20" s="47" t="str">
        <f>_xlfn.IFNA(INDEX('[3]3.5.1'!$1:$104,MATCH(R$4,'[3]3.5.1'!$A:$A,0),MATCH(Summary!$C20,'[3]3.5.1'!$1:$1,0)),"")</f>
        <v/>
      </c>
      <c r="S20" s="47"/>
      <c r="T20" s="47"/>
      <c r="U20" s="47" t="str">
        <f>_xlfn.IFNA(INDEX('[3]3.5.1'!$1:$104,MATCH(U$4,'[3]3.5.1'!$A:$A,0),MATCH(Summary!$C20,'[3]3.5.1'!$1:$1,0)),"")</f>
        <v/>
      </c>
      <c r="V20" s="47"/>
      <c r="W20" s="47"/>
      <c r="X20" s="47">
        <f>_xlfn.IFNA(INDEX('[3]3.5.1'!$1:$104,MATCH(X$4,'[3]3.5.1'!$A:$A,0),MATCH(Summary!$C20,'[3]3.5.1'!$1:$1,0)),"")</f>
        <v>27516.138</v>
      </c>
      <c r="Y20" s="47"/>
      <c r="Z20" s="47"/>
      <c r="AA20" s="47" t="str">
        <f>_xlfn.IFNA(INDEX('[3]3.5.1'!$1:$104,MATCH(AA$4,'[3]3.5.1'!$A:$A,0),MATCH(Summary!$C20,'[3]3.5.1'!$1:$1,0)),"")</f>
        <v/>
      </c>
      <c r="AB20" s="47"/>
      <c r="AC20" s="47"/>
      <c r="AD20" s="47" t="str">
        <f>_xlfn.IFNA(INDEX('[3]3.5.1'!$1:$104,MATCH(AD$4,'[3]3.5.1'!$A:$A,0),MATCH(Summary!$C20,'[3]3.5.1'!$1:$1,0)),"")</f>
        <v/>
      </c>
      <c r="AE20" s="47"/>
      <c r="AF20" s="47"/>
      <c r="AG20" s="47">
        <f>_xlfn.IFNA(INDEX('[3]3.5.1'!$1:$104,MATCH(AG$4,'[3]3.5.1'!$A:$A,0),MATCH(Summary!$C20,'[3]3.5.1'!$1:$1,0)),"")</f>
        <v>26813.224</v>
      </c>
      <c r="AH20" s="47"/>
      <c r="AI20" s="47"/>
      <c r="AJ20" s="47" t="str">
        <f>_xlfn.IFNA(INDEX('[3]3.5.1'!$1:$104,MATCH(AJ$4,'[3]3.5.1'!$A:$A,0),MATCH(Summary!$C20,'[3]3.5.1'!$1:$1,0)),"")</f>
        <v/>
      </c>
      <c r="AK20" s="47"/>
      <c r="AL20" s="47"/>
      <c r="AM20" s="47" t="str">
        <f>_xlfn.IFNA(INDEX('[3]3.5.1'!$1:$104,MATCH(AM$4,'[3]3.5.1'!$A:$A,0),MATCH(Summary!$C20,'[3]3.5.1'!$1:$1,0)),"")</f>
        <v/>
      </c>
      <c r="AN20" s="47"/>
      <c r="AO20" s="47"/>
      <c r="AP20" s="47">
        <f>_xlfn.IFNA(INDEX('[3]3.5.1'!$1:$104,MATCH(AP$4,'[3]3.5.1'!$A:$A,0),MATCH(Summary!$C20,'[3]3.5.1'!$1:$1,0)),"")</f>
        <v>27397.964</v>
      </c>
      <c r="AQ20" s="47"/>
      <c r="AR20" s="47"/>
      <c r="AS20" s="47" t="str">
        <f>_xlfn.IFNA(INDEX('[3]3.5.1'!$1:$104,MATCH(AS$4,'[3]3.5.1'!$A:$A,0),MATCH(Summary!$C20,'[3]3.5.1'!$1:$1,0)),"")</f>
        <v/>
      </c>
      <c r="AT20" s="47"/>
      <c r="AU20" s="47"/>
      <c r="AV20" s="47" t="str">
        <f>_xlfn.IFNA(INDEX('[3]3.5.1'!$1:$104,MATCH(AV$4,'[3]3.5.1'!$A:$A,0),MATCH(Summary!$C20,'[3]3.5.1'!$1:$1,0)),"")</f>
        <v/>
      </c>
      <c r="AW20" s="47"/>
      <c r="AX20" s="47"/>
      <c r="AY20" s="47">
        <f>_xlfn.IFNA(INDEX('[3]3.5.1'!$1:$104,MATCH(AY$4,'[3]3.5.1'!$A:$A,0),MATCH(Summary!$C20,'[3]3.5.1'!$1:$1,0)),"")</f>
        <v>27564.337</v>
      </c>
      <c r="AZ20" s="47"/>
      <c r="BA20" s="47"/>
      <c r="BB20" s="47">
        <f>_xlfn.IFNA(INDEX('[3]3.5.1'!$1:$104,MATCH(BB$4,'[3]3.5.1'!$A:$A,0),MATCH(Summary!$C20,'[3]3.5.1'!$1:$1,0)),"")</f>
        <v>21597.563</v>
      </c>
      <c r="BC20" s="47"/>
      <c r="BD20" s="47"/>
      <c r="BE20" s="47" t="str">
        <f>_xlfn.IFNA(INDEX('[3]3.5.1'!$1:$104,MATCH(BE$4,'[3]3.5.1'!$A:$A,0),MATCH(Summary!$C20,'[3]3.5.1'!$1:$1,0)),"")</f>
        <v/>
      </c>
      <c r="BF20" s="47"/>
      <c r="BG20" s="47"/>
      <c r="BH20" s="47" t="str">
        <f>_xlfn.IFNA(INDEX('[3]3.5.1'!$1:$104,MATCH(BH$4,'[3]3.5.1'!$A:$A,0),MATCH(Summary!$C20,'[3]3.5.1'!$1:$1,0)),"")</f>
        <v/>
      </c>
      <c r="BI20" s="47"/>
      <c r="BJ20" s="47"/>
      <c r="BK20" s="47" t="str">
        <f>_xlfn.IFNA(INDEX('[3]3.5.1'!$1:$104,MATCH(BK$4,'[3]3.5.1'!$A:$A,0),MATCH(Summary!$C20,'[3]3.5.1'!$1:$1,0)),"")</f>
        <v/>
      </c>
    </row>
    <row r="21" s="1" customFormat="1" ht="16.5" hidden="1" customHeight="1" outlineLevel="2" spans="1:63">
      <c r="A21" s="22"/>
      <c r="B21" s="22"/>
      <c r="C21" s="22" t="s">
        <v>404</v>
      </c>
      <c r="D21" s="42"/>
      <c r="E21" s="42"/>
      <c r="F21" s="57" t="s">
        <v>405</v>
      </c>
      <c r="G21" s="58" t="s">
        <v>406</v>
      </c>
      <c r="H21" s="45">
        <f t="shared" si="9"/>
        <v>0.00425922869729722</v>
      </c>
      <c r="I21" s="46" t="str">
        <f t="shared" si="10"/>
        <v/>
      </c>
      <c r="J21" s="47"/>
      <c r="K21" s="47"/>
      <c r="L21" s="47" t="str">
        <f>_xlfn.IFNA(INDEX('[3]3.5.1'!$1:$104,MATCH(L$4,'[3]3.5.1'!$A:$A,0),MATCH(Summary!$C21,'[3]3.5.1'!$1:$1,0)),"")</f>
        <v/>
      </c>
      <c r="M21" s="47"/>
      <c r="N21" s="47"/>
      <c r="O21" s="47">
        <f>_xlfn.IFNA(INDEX('[3]3.5.1'!$1:$104,MATCH(O$4,'[3]3.5.1'!$A:$A,0),MATCH(Summary!$C21,'[3]3.5.1'!$1:$1,0)),"")</f>
        <v>45948.115</v>
      </c>
      <c r="P21" s="47"/>
      <c r="Q21" s="47"/>
      <c r="R21" s="47" t="str">
        <f>_xlfn.IFNA(INDEX('[3]3.5.1'!$1:$104,MATCH(R$4,'[3]3.5.1'!$A:$A,0),MATCH(Summary!$C21,'[3]3.5.1'!$1:$1,0)),"")</f>
        <v/>
      </c>
      <c r="S21" s="47"/>
      <c r="T21" s="47"/>
      <c r="U21" s="47" t="str">
        <f>_xlfn.IFNA(INDEX('[3]3.5.1'!$1:$104,MATCH(U$4,'[3]3.5.1'!$A:$A,0),MATCH(Summary!$C21,'[3]3.5.1'!$1:$1,0)),"")</f>
        <v/>
      </c>
      <c r="V21" s="47"/>
      <c r="W21" s="47"/>
      <c r="X21" s="47">
        <f>_xlfn.IFNA(INDEX('[3]3.5.1'!$1:$104,MATCH(X$4,'[3]3.5.1'!$A:$A,0),MATCH(Summary!$C21,'[3]3.5.1'!$1:$1,0)),"")</f>
        <v>44021.965</v>
      </c>
      <c r="Y21" s="47"/>
      <c r="Z21" s="47"/>
      <c r="AA21" s="47" t="str">
        <f>_xlfn.IFNA(INDEX('[3]3.5.1'!$1:$104,MATCH(AA$4,'[3]3.5.1'!$A:$A,0),MATCH(Summary!$C21,'[3]3.5.1'!$1:$1,0)),"")</f>
        <v/>
      </c>
      <c r="AB21" s="47"/>
      <c r="AC21" s="47"/>
      <c r="AD21" s="47" t="str">
        <f>_xlfn.IFNA(INDEX('[3]3.5.1'!$1:$104,MATCH(AD$4,'[3]3.5.1'!$A:$A,0),MATCH(Summary!$C21,'[3]3.5.1'!$1:$1,0)),"")</f>
        <v/>
      </c>
      <c r="AE21" s="47"/>
      <c r="AF21" s="47"/>
      <c r="AG21" s="47">
        <f>_xlfn.IFNA(INDEX('[3]3.5.1'!$1:$104,MATCH(AG$4,'[3]3.5.1'!$A:$A,0),MATCH(Summary!$C21,'[3]3.5.1'!$1:$1,0)),"")</f>
        <v>39803.767</v>
      </c>
      <c r="AH21" s="47"/>
      <c r="AI21" s="47"/>
      <c r="AJ21" s="47" t="str">
        <f>_xlfn.IFNA(INDEX('[3]3.5.1'!$1:$104,MATCH(AJ$4,'[3]3.5.1'!$A:$A,0),MATCH(Summary!$C21,'[3]3.5.1'!$1:$1,0)),"")</f>
        <v/>
      </c>
      <c r="AK21" s="47"/>
      <c r="AL21" s="47"/>
      <c r="AM21" s="47" t="str">
        <f>_xlfn.IFNA(INDEX('[3]3.5.1'!$1:$104,MATCH(AM$4,'[3]3.5.1'!$A:$A,0),MATCH(Summary!$C21,'[3]3.5.1'!$1:$1,0)),"")</f>
        <v/>
      </c>
      <c r="AN21" s="47"/>
      <c r="AO21" s="47"/>
      <c r="AP21" s="47">
        <f>_xlfn.IFNA(INDEX('[3]3.5.1'!$1:$104,MATCH(AP$4,'[3]3.5.1'!$A:$A,0),MATCH(Summary!$C21,'[3]3.5.1'!$1:$1,0)),"")</f>
        <v>43053.556</v>
      </c>
      <c r="AQ21" s="47"/>
      <c r="AR21" s="47"/>
      <c r="AS21" s="47" t="str">
        <f>_xlfn.IFNA(INDEX('[3]3.5.1'!$1:$104,MATCH(AS$4,'[3]3.5.1'!$A:$A,0),MATCH(Summary!$C21,'[3]3.5.1'!$1:$1,0)),"")</f>
        <v/>
      </c>
      <c r="AT21" s="47"/>
      <c r="AU21" s="47"/>
      <c r="AV21" s="47" t="str">
        <f>_xlfn.IFNA(INDEX('[3]3.5.1'!$1:$104,MATCH(AV$4,'[3]3.5.1'!$A:$A,0),MATCH(Summary!$C21,'[3]3.5.1'!$1:$1,0)),"")</f>
        <v/>
      </c>
      <c r="AW21" s="47"/>
      <c r="AX21" s="47"/>
      <c r="AY21" s="47">
        <f>_xlfn.IFNA(INDEX('[3]3.5.1'!$1:$104,MATCH(AY$4,'[3]3.5.1'!$A:$A,0),MATCH(Summary!$C21,'[3]3.5.1'!$1:$1,0)),"")</f>
        <v>43381.244</v>
      </c>
      <c r="AZ21" s="47"/>
      <c r="BA21" s="47"/>
      <c r="BB21" s="47">
        <f>_xlfn.IFNA(INDEX('[3]3.5.1'!$1:$104,MATCH(BB$4,'[3]3.5.1'!$A:$A,0),MATCH(Summary!$C21,'[3]3.5.1'!$1:$1,0)),"")</f>
        <v>37385.872</v>
      </c>
      <c r="BC21" s="47"/>
      <c r="BD21" s="47"/>
      <c r="BE21" s="47" t="str">
        <f>_xlfn.IFNA(INDEX('[3]3.5.1'!$1:$104,MATCH(BE$4,'[3]3.5.1'!$A:$A,0),MATCH(Summary!$C21,'[3]3.5.1'!$1:$1,0)),"")</f>
        <v/>
      </c>
      <c r="BF21" s="47"/>
      <c r="BG21" s="47"/>
      <c r="BH21" s="47" t="str">
        <f>_xlfn.IFNA(INDEX('[3]3.5.1'!$1:$104,MATCH(BH$4,'[3]3.5.1'!$A:$A,0),MATCH(Summary!$C21,'[3]3.5.1'!$1:$1,0)),"")</f>
        <v/>
      </c>
      <c r="BI21" s="47"/>
      <c r="BJ21" s="47"/>
      <c r="BK21" s="47" t="str">
        <f>_xlfn.IFNA(INDEX('[3]3.5.1'!$1:$104,MATCH(BK$4,'[3]3.5.1'!$A:$A,0),MATCH(Summary!$C21,'[3]3.5.1'!$1:$1,0)),"")</f>
        <v/>
      </c>
    </row>
    <row r="22" s="1" customFormat="1" ht="16.5" hidden="1" customHeight="1" outlineLevel="2" spans="1:63">
      <c r="A22" s="22"/>
      <c r="B22" s="22"/>
      <c r="C22" s="22" t="s">
        <v>407</v>
      </c>
      <c r="D22" s="42"/>
      <c r="E22" s="42"/>
      <c r="F22" s="57" t="s">
        <v>408</v>
      </c>
      <c r="G22" s="58" t="s">
        <v>409</v>
      </c>
      <c r="H22" s="45">
        <f t="shared" si="9"/>
        <v>0.00677888672196315</v>
      </c>
      <c r="I22" s="46" t="str">
        <f t="shared" si="10"/>
        <v/>
      </c>
      <c r="J22" s="47"/>
      <c r="K22" s="47"/>
      <c r="L22" s="47" t="str">
        <f>_xlfn.IFNA(INDEX('[3]3.5.1'!$1:$104,MATCH(L$4,'[3]3.5.1'!$A:$A,0),MATCH(Summary!$C22,'[3]3.5.1'!$1:$1,0)),"")</f>
        <v/>
      </c>
      <c r="M22" s="47"/>
      <c r="N22" s="47"/>
      <c r="O22" s="47">
        <f>_xlfn.IFNA(INDEX('[3]3.5.1'!$1:$104,MATCH(O$4,'[3]3.5.1'!$A:$A,0),MATCH(Summary!$C22,'[3]3.5.1'!$1:$1,0)),"")</f>
        <v>73129.923</v>
      </c>
      <c r="P22" s="47"/>
      <c r="Q22" s="47"/>
      <c r="R22" s="47" t="str">
        <f>_xlfn.IFNA(INDEX('[3]3.5.1'!$1:$104,MATCH(R$4,'[3]3.5.1'!$A:$A,0),MATCH(Summary!$C22,'[3]3.5.1'!$1:$1,0)),"")</f>
        <v/>
      </c>
      <c r="S22" s="47"/>
      <c r="T22" s="47"/>
      <c r="U22" s="47" t="str">
        <f>_xlfn.IFNA(INDEX('[3]3.5.1'!$1:$104,MATCH(U$4,'[3]3.5.1'!$A:$A,0),MATCH(Summary!$C22,'[3]3.5.1'!$1:$1,0)),"")</f>
        <v/>
      </c>
      <c r="V22" s="47"/>
      <c r="W22" s="47"/>
      <c r="X22" s="47">
        <f>_xlfn.IFNA(INDEX('[3]3.5.1'!$1:$104,MATCH(X$4,'[3]3.5.1'!$A:$A,0),MATCH(Summary!$C22,'[3]3.5.1'!$1:$1,0)),"")</f>
        <v>63578.479</v>
      </c>
      <c r="Y22" s="47"/>
      <c r="Z22" s="47"/>
      <c r="AA22" s="47" t="str">
        <f>_xlfn.IFNA(INDEX('[3]3.5.1'!$1:$104,MATCH(AA$4,'[3]3.5.1'!$A:$A,0),MATCH(Summary!$C22,'[3]3.5.1'!$1:$1,0)),"")</f>
        <v/>
      </c>
      <c r="AB22" s="47"/>
      <c r="AC22" s="47"/>
      <c r="AD22" s="47" t="str">
        <f>_xlfn.IFNA(INDEX('[3]3.5.1'!$1:$104,MATCH(AD$4,'[3]3.5.1'!$A:$A,0),MATCH(Summary!$C22,'[3]3.5.1'!$1:$1,0)),"")</f>
        <v/>
      </c>
      <c r="AE22" s="47"/>
      <c r="AF22" s="47"/>
      <c r="AG22" s="47">
        <f>_xlfn.IFNA(INDEX('[3]3.5.1'!$1:$104,MATCH(AG$4,'[3]3.5.1'!$A:$A,0),MATCH(Summary!$C22,'[3]3.5.1'!$1:$1,0)),"")</f>
        <v>62683.653</v>
      </c>
      <c r="AH22" s="47"/>
      <c r="AI22" s="47"/>
      <c r="AJ22" s="47" t="str">
        <f>_xlfn.IFNA(INDEX('[3]3.5.1'!$1:$104,MATCH(AJ$4,'[3]3.5.1'!$A:$A,0),MATCH(Summary!$C22,'[3]3.5.1'!$1:$1,0)),"")</f>
        <v/>
      </c>
      <c r="AK22" s="47"/>
      <c r="AL22" s="47"/>
      <c r="AM22" s="47" t="str">
        <f>_xlfn.IFNA(INDEX('[3]3.5.1'!$1:$104,MATCH(AM$4,'[3]3.5.1'!$A:$A,0),MATCH(Summary!$C22,'[3]3.5.1'!$1:$1,0)),"")</f>
        <v/>
      </c>
      <c r="AN22" s="47"/>
      <c r="AO22" s="47"/>
      <c r="AP22" s="47">
        <f>_xlfn.IFNA(INDEX('[3]3.5.1'!$1:$104,MATCH(AP$4,'[3]3.5.1'!$A:$A,0),MATCH(Summary!$C22,'[3]3.5.1'!$1:$1,0)),"")</f>
        <v>72133.026</v>
      </c>
      <c r="AQ22" s="47"/>
      <c r="AR22" s="47"/>
      <c r="AS22" s="47" t="str">
        <f>_xlfn.IFNA(INDEX('[3]3.5.1'!$1:$104,MATCH(AS$4,'[3]3.5.1'!$A:$A,0),MATCH(Summary!$C22,'[3]3.5.1'!$1:$1,0)),"")</f>
        <v/>
      </c>
      <c r="AT22" s="47"/>
      <c r="AU22" s="47"/>
      <c r="AV22" s="47" t="str">
        <f>_xlfn.IFNA(INDEX('[3]3.5.1'!$1:$104,MATCH(AV$4,'[3]3.5.1'!$A:$A,0),MATCH(Summary!$C22,'[3]3.5.1'!$1:$1,0)),"")</f>
        <v/>
      </c>
      <c r="AW22" s="47"/>
      <c r="AX22" s="47"/>
      <c r="AY22" s="47">
        <f>_xlfn.IFNA(INDEX('[3]3.5.1'!$1:$104,MATCH(AY$4,'[3]3.5.1'!$A:$A,0),MATCH(Summary!$C22,'[3]3.5.1'!$1:$1,0)),"")</f>
        <v>64991.74</v>
      </c>
      <c r="AZ22" s="47"/>
      <c r="BA22" s="47"/>
      <c r="BB22" s="47">
        <f>_xlfn.IFNA(INDEX('[3]3.5.1'!$1:$104,MATCH(BB$4,'[3]3.5.1'!$A:$A,0),MATCH(Summary!$C22,'[3]3.5.1'!$1:$1,0)),"")</f>
        <v>57264.194</v>
      </c>
      <c r="BC22" s="47"/>
      <c r="BD22" s="47"/>
      <c r="BE22" s="47" t="str">
        <f>_xlfn.IFNA(INDEX('[3]3.5.1'!$1:$104,MATCH(BE$4,'[3]3.5.1'!$A:$A,0),MATCH(Summary!$C22,'[3]3.5.1'!$1:$1,0)),"")</f>
        <v/>
      </c>
      <c r="BF22" s="47"/>
      <c r="BG22" s="47"/>
      <c r="BH22" s="47" t="str">
        <f>_xlfn.IFNA(INDEX('[3]3.5.1'!$1:$104,MATCH(BH$4,'[3]3.5.1'!$A:$A,0),MATCH(Summary!$C22,'[3]3.5.1'!$1:$1,0)),"")</f>
        <v/>
      </c>
      <c r="BI22" s="47"/>
      <c r="BJ22" s="47"/>
      <c r="BK22" s="47" t="str">
        <f>_xlfn.IFNA(INDEX('[3]3.5.1'!$1:$104,MATCH(BK$4,'[3]3.5.1'!$A:$A,0),MATCH(Summary!$C22,'[3]3.5.1'!$1:$1,0)),"")</f>
        <v/>
      </c>
    </row>
    <row r="23" s="1" customFormat="1" ht="16.5" hidden="1" customHeight="1" outlineLevel="2" spans="1:63">
      <c r="A23" s="22"/>
      <c r="B23" s="22"/>
      <c r="C23" s="22" t="s">
        <v>410</v>
      </c>
      <c r="D23" s="42"/>
      <c r="E23" s="42"/>
      <c r="F23" s="57" t="s">
        <v>411</v>
      </c>
      <c r="G23" s="58" t="s">
        <v>412</v>
      </c>
      <c r="H23" s="45">
        <f t="shared" si="9"/>
        <v>0</v>
      </c>
      <c r="I23" s="46" t="str">
        <f t="shared" si="10"/>
        <v/>
      </c>
      <c r="J23" s="47"/>
      <c r="K23" s="47"/>
      <c r="L23" s="47" t="str">
        <f>_xlfn.IFNA(INDEX('[3]3.5.1'!$1:$104,MATCH(L$4,'[3]3.5.1'!$A:$A,0),MATCH(Summary!$C23,'[3]3.5.1'!$1:$1,0)),"")</f>
        <v/>
      </c>
      <c r="M23" s="47"/>
      <c r="N23" s="47"/>
      <c r="O23" s="47">
        <f>_xlfn.IFNA(INDEX('[3]3.5.1'!$1:$104,MATCH(O$4,'[3]3.5.1'!$A:$A,0),MATCH(Summary!$C23,'[3]3.5.1'!$1:$1,0)),"")</f>
        <v>0</v>
      </c>
      <c r="P23" s="47"/>
      <c r="Q23" s="47"/>
      <c r="R23" s="47" t="str">
        <f>_xlfn.IFNA(INDEX('[3]3.5.1'!$1:$104,MATCH(R$4,'[3]3.5.1'!$A:$A,0),MATCH(Summary!$C23,'[3]3.5.1'!$1:$1,0)),"")</f>
        <v/>
      </c>
      <c r="S23" s="47"/>
      <c r="T23" s="47"/>
      <c r="U23" s="47" t="str">
        <f>_xlfn.IFNA(INDEX('[3]3.5.1'!$1:$104,MATCH(U$4,'[3]3.5.1'!$A:$A,0),MATCH(Summary!$C23,'[3]3.5.1'!$1:$1,0)),"")</f>
        <v/>
      </c>
      <c r="V23" s="47"/>
      <c r="W23" s="47"/>
      <c r="X23" s="47">
        <f>_xlfn.IFNA(INDEX('[3]3.5.1'!$1:$104,MATCH(X$4,'[3]3.5.1'!$A:$A,0),MATCH(Summary!$C23,'[3]3.5.1'!$1:$1,0)),"")</f>
        <v>0</v>
      </c>
      <c r="Y23" s="47"/>
      <c r="Z23" s="47"/>
      <c r="AA23" s="47" t="str">
        <f>_xlfn.IFNA(INDEX('[3]3.5.1'!$1:$104,MATCH(AA$4,'[3]3.5.1'!$A:$A,0),MATCH(Summary!$C23,'[3]3.5.1'!$1:$1,0)),"")</f>
        <v/>
      </c>
      <c r="AB23" s="47"/>
      <c r="AC23" s="47"/>
      <c r="AD23" s="47" t="str">
        <f>_xlfn.IFNA(INDEX('[3]3.5.1'!$1:$104,MATCH(AD$4,'[3]3.5.1'!$A:$A,0),MATCH(Summary!$C23,'[3]3.5.1'!$1:$1,0)),"")</f>
        <v/>
      </c>
      <c r="AE23" s="47"/>
      <c r="AF23" s="47"/>
      <c r="AG23" s="47">
        <f>_xlfn.IFNA(INDEX('[3]3.5.1'!$1:$104,MATCH(AG$4,'[3]3.5.1'!$A:$A,0),MATCH(Summary!$C23,'[3]3.5.1'!$1:$1,0)),"")</f>
        <v>0</v>
      </c>
      <c r="AH23" s="47"/>
      <c r="AI23" s="47"/>
      <c r="AJ23" s="47" t="str">
        <f>_xlfn.IFNA(INDEX('[3]3.5.1'!$1:$104,MATCH(AJ$4,'[3]3.5.1'!$A:$A,0),MATCH(Summary!$C23,'[3]3.5.1'!$1:$1,0)),"")</f>
        <v/>
      </c>
      <c r="AK23" s="47"/>
      <c r="AL23" s="47"/>
      <c r="AM23" s="47" t="str">
        <f>_xlfn.IFNA(INDEX('[3]3.5.1'!$1:$104,MATCH(AM$4,'[3]3.5.1'!$A:$A,0),MATCH(Summary!$C23,'[3]3.5.1'!$1:$1,0)),"")</f>
        <v/>
      </c>
      <c r="AN23" s="47"/>
      <c r="AO23" s="47"/>
      <c r="AP23" s="47">
        <f>_xlfn.IFNA(INDEX('[3]3.5.1'!$1:$104,MATCH(AP$4,'[3]3.5.1'!$A:$A,0),MATCH(Summary!$C23,'[3]3.5.1'!$1:$1,0)),"")</f>
        <v>0</v>
      </c>
      <c r="AQ23" s="47"/>
      <c r="AR23" s="47"/>
      <c r="AS23" s="47" t="str">
        <f>_xlfn.IFNA(INDEX('[3]3.5.1'!$1:$104,MATCH(AS$4,'[3]3.5.1'!$A:$A,0),MATCH(Summary!$C23,'[3]3.5.1'!$1:$1,0)),"")</f>
        <v/>
      </c>
      <c r="AT23" s="47"/>
      <c r="AU23" s="47"/>
      <c r="AV23" s="47" t="str">
        <f>_xlfn.IFNA(INDEX('[3]3.5.1'!$1:$104,MATCH(AV$4,'[3]3.5.1'!$A:$A,0),MATCH(Summary!$C23,'[3]3.5.1'!$1:$1,0)),"")</f>
        <v/>
      </c>
      <c r="AW23" s="47"/>
      <c r="AX23" s="47"/>
      <c r="AY23" s="47">
        <f>_xlfn.IFNA(INDEX('[3]3.5.1'!$1:$104,MATCH(AY$4,'[3]3.5.1'!$A:$A,0),MATCH(Summary!$C23,'[3]3.5.1'!$1:$1,0)),"")</f>
        <v>0</v>
      </c>
      <c r="AZ23" s="47"/>
      <c r="BA23" s="47"/>
      <c r="BB23" s="47">
        <f>_xlfn.IFNA(INDEX('[3]3.5.1'!$1:$104,MATCH(BB$4,'[3]3.5.1'!$A:$A,0),MATCH(Summary!$C23,'[3]3.5.1'!$1:$1,0)),"")</f>
        <v>0</v>
      </c>
      <c r="BC23" s="47"/>
      <c r="BD23" s="47"/>
      <c r="BE23" s="47" t="str">
        <f>_xlfn.IFNA(INDEX('[3]3.5.1'!$1:$104,MATCH(BE$4,'[3]3.5.1'!$A:$A,0),MATCH(Summary!$C23,'[3]3.5.1'!$1:$1,0)),"")</f>
        <v/>
      </c>
      <c r="BF23" s="47"/>
      <c r="BG23" s="47"/>
      <c r="BH23" s="47" t="str">
        <f>_xlfn.IFNA(INDEX('[3]3.5.1'!$1:$104,MATCH(BH$4,'[3]3.5.1'!$A:$A,0),MATCH(Summary!$C23,'[3]3.5.1'!$1:$1,0)),"")</f>
        <v/>
      </c>
      <c r="BI23" s="47"/>
      <c r="BJ23" s="47"/>
      <c r="BK23" s="47" t="str">
        <f>_xlfn.IFNA(INDEX('[3]3.5.1'!$1:$104,MATCH(BK$4,'[3]3.5.1'!$A:$A,0),MATCH(Summary!$C23,'[3]3.5.1'!$1:$1,0)),"")</f>
        <v/>
      </c>
    </row>
    <row r="24" s="1" customFormat="1" ht="16.5" hidden="1" customHeight="1" outlineLevel="2" spans="1:63">
      <c r="A24" s="22"/>
      <c r="B24" s="22"/>
      <c r="C24" s="22" t="s">
        <v>413</v>
      </c>
      <c r="D24" s="42"/>
      <c r="E24" s="42"/>
      <c r="F24" s="57" t="s">
        <v>414</v>
      </c>
      <c r="G24" s="58" t="s">
        <v>415</v>
      </c>
      <c r="H24" s="45">
        <f t="shared" si="9"/>
        <v>0.00564762569332483</v>
      </c>
      <c r="I24" s="46" t="str">
        <f t="shared" si="10"/>
        <v/>
      </c>
      <c r="J24" s="47"/>
      <c r="K24" s="47"/>
      <c r="L24" s="47" t="str">
        <f>_xlfn.IFNA(INDEX('[3]3.5.1'!$1:$104,MATCH(L$4,'[3]3.5.1'!$A:$A,0),MATCH(Summary!$C24,'[3]3.5.1'!$1:$1,0)),"")</f>
        <v/>
      </c>
      <c r="M24" s="47"/>
      <c r="N24" s="47"/>
      <c r="O24" s="47">
        <f>_xlfn.IFNA(INDEX('[3]3.5.1'!$1:$104,MATCH(O$4,'[3]3.5.1'!$A:$A,0),MATCH(Summary!$C24,'[3]3.5.1'!$1:$1,0)),"")</f>
        <v>60925.997</v>
      </c>
      <c r="P24" s="47"/>
      <c r="Q24" s="47"/>
      <c r="R24" s="47" t="str">
        <f>_xlfn.IFNA(INDEX('[3]3.5.1'!$1:$104,MATCH(R$4,'[3]3.5.1'!$A:$A,0),MATCH(Summary!$C24,'[3]3.5.1'!$1:$1,0)),"")</f>
        <v/>
      </c>
      <c r="S24" s="47"/>
      <c r="T24" s="47"/>
      <c r="U24" s="47" t="str">
        <f>_xlfn.IFNA(INDEX('[3]3.5.1'!$1:$104,MATCH(U$4,'[3]3.5.1'!$A:$A,0),MATCH(Summary!$C24,'[3]3.5.1'!$1:$1,0)),"")</f>
        <v/>
      </c>
      <c r="V24" s="47"/>
      <c r="W24" s="47"/>
      <c r="X24" s="47">
        <f>_xlfn.IFNA(INDEX('[3]3.5.1'!$1:$104,MATCH(X$4,'[3]3.5.1'!$A:$A,0),MATCH(Summary!$C24,'[3]3.5.1'!$1:$1,0)),"")</f>
        <v>61296.591</v>
      </c>
      <c r="Y24" s="47"/>
      <c r="Z24" s="47"/>
      <c r="AA24" s="47" t="str">
        <f>_xlfn.IFNA(INDEX('[3]3.5.1'!$1:$104,MATCH(AA$4,'[3]3.5.1'!$A:$A,0),MATCH(Summary!$C24,'[3]3.5.1'!$1:$1,0)),"")</f>
        <v/>
      </c>
      <c r="AB24" s="47"/>
      <c r="AC24" s="47"/>
      <c r="AD24" s="47" t="str">
        <f>_xlfn.IFNA(INDEX('[3]3.5.1'!$1:$104,MATCH(AD$4,'[3]3.5.1'!$A:$A,0),MATCH(Summary!$C24,'[3]3.5.1'!$1:$1,0)),"")</f>
        <v/>
      </c>
      <c r="AE24" s="47"/>
      <c r="AF24" s="47"/>
      <c r="AG24" s="47">
        <f>_xlfn.IFNA(INDEX('[3]3.5.1'!$1:$104,MATCH(AG$4,'[3]3.5.1'!$A:$A,0),MATCH(Summary!$C24,'[3]3.5.1'!$1:$1,0)),"")</f>
        <v>54150.184</v>
      </c>
      <c r="AH24" s="47"/>
      <c r="AI24" s="47"/>
      <c r="AJ24" s="47" t="str">
        <f>_xlfn.IFNA(INDEX('[3]3.5.1'!$1:$104,MATCH(AJ$4,'[3]3.5.1'!$A:$A,0),MATCH(Summary!$C24,'[3]3.5.1'!$1:$1,0)),"")</f>
        <v/>
      </c>
      <c r="AK24" s="47"/>
      <c r="AL24" s="47"/>
      <c r="AM24" s="47" t="str">
        <f>_xlfn.IFNA(INDEX('[3]3.5.1'!$1:$104,MATCH(AM$4,'[3]3.5.1'!$A:$A,0),MATCH(Summary!$C24,'[3]3.5.1'!$1:$1,0)),"")</f>
        <v/>
      </c>
      <c r="AN24" s="47"/>
      <c r="AO24" s="47"/>
      <c r="AP24" s="47">
        <f>_xlfn.IFNA(INDEX('[3]3.5.1'!$1:$104,MATCH(AP$4,'[3]3.5.1'!$A:$A,0),MATCH(Summary!$C24,'[3]3.5.1'!$1:$1,0)),"")</f>
        <v>49492.873</v>
      </c>
      <c r="AQ24" s="47"/>
      <c r="AR24" s="47"/>
      <c r="AS24" s="47" t="str">
        <f>_xlfn.IFNA(INDEX('[3]3.5.1'!$1:$104,MATCH(AS$4,'[3]3.5.1'!$A:$A,0),MATCH(Summary!$C24,'[3]3.5.1'!$1:$1,0)),"")</f>
        <v/>
      </c>
      <c r="AT24" s="47"/>
      <c r="AU24" s="47"/>
      <c r="AV24" s="47" t="str">
        <f>_xlfn.IFNA(INDEX('[3]3.5.1'!$1:$104,MATCH(AV$4,'[3]3.5.1'!$A:$A,0),MATCH(Summary!$C24,'[3]3.5.1'!$1:$1,0)),"")</f>
        <v/>
      </c>
      <c r="AW24" s="47"/>
      <c r="AX24" s="47"/>
      <c r="AY24" s="47">
        <f>_xlfn.IFNA(INDEX('[3]3.5.1'!$1:$104,MATCH(AY$4,'[3]3.5.1'!$A:$A,0),MATCH(Summary!$C24,'[3]3.5.1'!$1:$1,0)),"")</f>
        <v>51873.188</v>
      </c>
      <c r="AZ24" s="47"/>
      <c r="BA24" s="47"/>
      <c r="BB24" s="47">
        <f>_xlfn.IFNA(INDEX('[3]3.5.1'!$1:$104,MATCH(BB$4,'[3]3.5.1'!$A:$A,0),MATCH(Summary!$C24,'[3]3.5.1'!$1:$1,0)),"")</f>
        <v>52623.241</v>
      </c>
      <c r="BC24" s="47"/>
      <c r="BD24" s="47"/>
      <c r="BE24" s="47" t="str">
        <f>_xlfn.IFNA(INDEX('[3]3.5.1'!$1:$104,MATCH(BE$4,'[3]3.5.1'!$A:$A,0),MATCH(Summary!$C24,'[3]3.5.1'!$1:$1,0)),"")</f>
        <v/>
      </c>
      <c r="BF24" s="47"/>
      <c r="BG24" s="47"/>
      <c r="BH24" s="47" t="str">
        <f>_xlfn.IFNA(INDEX('[3]3.5.1'!$1:$104,MATCH(BH$4,'[3]3.5.1'!$A:$A,0),MATCH(Summary!$C24,'[3]3.5.1'!$1:$1,0)),"")</f>
        <v/>
      </c>
      <c r="BI24" s="47"/>
      <c r="BJ24" s="47"/>
      <c r="BK24" s="47" t="str">
        <f>_xlfn.IFNA(INDEX('[3]3.5.1'!$1:$104,MATCH(BK$4,'[3]3.5.1'!$A:$A,0),MATCH(Summary!$C24,'[3]3.5.1'!$1:$1,0)),"")</f>
        <v/>
      </c>
    </row>
    <row r="25" s="1" customFormat="1" ht="16.5" hidden="1" customHeight="1" outlineLevel="2" spans="1:63">
      <c r="A25" s="22"/>
      <c r="B25" s="22"/>
      <c r="C25" s="22" t="s">
        <v>416</v>
      </c>
      <c r="D25" s="42"/>
      <c r="E25" s="42"/>
      <c r="F25" s="42" t="s">
        <v>417</v>
      </c>
      <c r="G25" s="44" t="s">
        <v>418</v>
      </c>
      <c r="H25" s="45">
        <f t="shared" si="9"/>
        <v>0.000926839419561493</v>
      </c>
      <c r="I25" s="46" t="str">
        <f t="shared" si="10"/>
        <v/>
      </c>
      <c r="J25" s="47"/>
      <c r="K25" s="47"/>
      <c r="L25" s="47" t="str">
        <f>_xlfn.IFNA(INDEX('[3]3.5.1'!$1:$104,MATCH(L$4,'[3]3.5.1'!$A:$A,0),MATCH(Summary!$C25,'[3]3.5.1'!$1:$1,0)),"")</f>
        <v/>
      </c>
      <c r="M25" s="47"/>
      <c r="N25" s="47"/>
      <c r="O25" s="47">
        <f>_xlfn.IFNA(INDEX('[3]3.5.1'!$1:$104,MATCH(O$4,'[3]3.5.1'!$A:$A,0),MATCH(Summary!$C25,'[3]3.5.1'!$1:$1,0)),"")</f>
        <v>9998.647</v>
      </c>
      <c r="P25" s="47"/>
      <c r="Q25" s="47"/>
      <c r="R25" s="47" t="str">
        <f>_xlfn.IFNA(INDEX('[3]3.5.1'!$1:$104,MATCH(R$4,'[3]3.5.1'!$A:$A,0),MATCH(Summary!$C25,'[3]3.5.1'!$1:$1,0)),"")</f>
        <v/>
      </c>
      <c r="S25" s="47"/>
      <c r="T25" s="47"/>
      <c r="U25" s="47" t="str">
        <f>_xlfn.IFNA(INDEX('[3]3.5.1'!$1:$104,MATCH(U$4,'[3]3.5.1'!$A:$A,0),MATCH(Summary!$C25,'[3]3.5.1'!$1:$1,0)),"")</f>
        <v/>
      </c>
      <c r="V25" s="47"/>
      <c r="W25" s="47"/>
      <c r="X25" s="47">
        <f>_xlfn.IFNA(INDEX('[3]3.5.1'!$1:$104,MATCH(X$4,'[3]3.5.1'!$A:$A,0),MATCH(Summary!$C25,'[3]3.5.1'!$1:$1,0)),"")</f>
        <v>6636.04</v>
      </c>
      <c r="Y25" s="47"/>
      <c r="Z25" s="47"/>
      <c r="AA25" s="47" t="str">
        <f>_xlfn.IFNA(INDEX('[3]3.5.1'!$1:$104,MATCH(AA$4,'[3]3.5.1'!$A:$A,0),MATCH(Summary!$C25,'[3]3.5.1'!$1:$1,0)),"")</f>
        <v/>
      </c>
      <c r="AB25" s="47"/>
      <c r="AC25" s="47"/>
      <c r="AD25" s="47" t="str">
        <f>_xlfn.IFNA(INDEX('[3]3.5.1'!$1:$104,MATCH(AD$4,'[3]3.5.1'!$A:$A,0),MATCH(Summary!$C25,'[3]3.5.1'!$1:$1,0)),"")</f>
        <v/>
      </c>
      <c r="AE25" s="47"/>
      <c r="AF25" s="47"/>
      <c r="AG25" s="47">
        <f>_xlfn.IFNA(INDEX('[3]3.5.1'!$1:$104,MATCH(AG$4,'[3]3.5.1'!$A:$A,0),MATCH(Summary!$C25,'[3]3.5.1'!$1:$1,0)),"")</f>
        <v>6090.297</v>
      </c>
      <c r="AH25" s="47"/>
      <c r="AI25" s="47"/>
      <c r="AJ25" s="47" t="str">
        <f>_xlfn.IFNA(INDEX('[3]3.5.1'!$1:$104,MATCH(AJ$4,'[3]3.5.1'!$A:$A,0),MATCH(Summary!$C25,'[3]3.5.1'!$1:$1,0)),"")</f>
        <v/>
      </c>
      <c r="AK25" s="47"/>
      <c r="AL25" s="47"/>
      <c r="AM25" s="47" t="str">
        <f>_xlfn.IFNA(INDEX('[3]3.5.1'!$1:$104,MATCH(AM$4,'[3]3.5.1'!$A:$A,0),MATCH(Summary!$C25,'[3]3.5.1'!$1:$1,0)),"")</f>
        <v/>
      </c>
      <c r="AN25" s="47"/>
      <c r="AO25" s="47"/>
      <c r="AP25" s="47">
        <f>_xlfn.IFNA(INDEX('[3]3.5.1'!$1:$104,MATCH(AP$4,'[3]3.5.1'!$A:$A,0),MATCH(Summary!$C25,'[3]3.5.1'!$1:$1,0)),"")</f>
        <v>5069.957</v>
      </c>
      <c r="AQ25" s="47"/>
      <c r="AR25" s="47"/>
      <c r="AS25" s="47" t="str">
        <f>_xlfn.IFNA(INDEX('[3]3.5.1'!$1:$104,MATCH(AS$4,'[3]3.5.1'!$A:$A,0),MATCH(Summary!$C25,'[3]3.5.1'!$1:$1,0)),"")</f>
        <v/>
      </c>
      <c r="AT25" s="47"/>
      <c r="AU25" s="47"/>
      <c r="AV25" s="47" t="str">
        <f>_xlfn.IFNA(INDEX('[3]3.5.1'!$1:$104,MATCH(AV$4,'[3]3.5.1'!$A:$A,0),MATCH(Summary!$C25,'[3]3.5.1'!$1:$1,0)),"")</f>
        <v/>
      </c>
      <c r="AW25" s="47"/>
      <c r="AX25" s="47"/>
      <c r="AY25" s="47">
        <f>_xlfn.IFNA(INDEX('[3]3.5.1'!$1:$104,MATCH(AY$4,'[3]3.5.1'!$A:$A,0),MATCH(Summary!$C25,'[3]3.5.1'!$1:$1,0)),"")</f>
        <v>5434.78</v>
      </c>
      <c r="AZ25" s="47"/>
      <c r="BA25" s="47"/>
      <c r="BB25" s="47">
        <f>_xlfn.IFNA(INDEX('[3]3.5.1'!$1:$104,MATCH(BB$4,'[3]3.5.1'!$A:$A,0),MATCH(Summary!$C25,'[3]3.5.1'!$1:$1,0)),"")</f>
        <v>6571.414</v>
      </c>
      <c r="BC25" s="47"/>
      <c r="BD25" s="47"/>
      <c r="BE25" s="47" t="str">
        <f>_xlfn.IFNA(INDEX('[3]3.5.1'!$1:$104,MATCH(BE$4,'[3]3.5.1'!$A:$A,0),MATCH(Summary!$C25,'[3]3.5.1'!$1:$1,0)),"")</f>
        <v/>
      </c>
      <c r="BF25" s="47"/>
      <c r="BG25" s="47"/>
      <c r="BH25" s="47" t="str">
        <f>_xlfn.IFNA(INDEX('[3]3.5.1'!$1:$104,MATCH(BH$4,'[3]3.5.1'!$A:$A,0),MATCH(Summary!$C25,'[3]3.5.1'!$1:$1,0)),"")</f>
        <v/>
      </c>
      <c r="BI25" s="47"/>
      <c r="BJ25" s="47"/>
      <c r="BK25" s="47" t="str">
        <f>_xlfn.IFNA(INDEX('[3]3.5.1'!$1:$104,MATCH(BK$4,'[3]3.5.1'!$A:$A,0),MATCH(Summary!$C25,'[3]3.5.1'!$1:$1,0)),"")</f>
        <v/>
      </c>
    </row>
    <row r="26" s="1" customFormat="1" ht="16.5" hidden="1" customHeight="1" outlineLevel="2" spans="1:63">
      <c r="A26" s="22"/>
      <c r="B26" s="22"/>
      <c r="C26" s="22" t="s">
        <v>419</v>
      </c>
      <c r="D26" s="42"/>
      <c r="E26" s="42"/>
      <c r="F26" s="42" t="s">
        <v>420</v>
      </c>
      <c r="G26" s="44" t="s">
        <v>421</v>
      </c>
      <c r="H26" s="45">
        <f t="shared" si="9"/>
        <v>0.00472078627376334</v>
      </c>
      <c r="I26" s="46" t="str">
        <f t="shared" si="10"/>
        <v/>
      </c>
      <c r="J26" s="47"/>
      <c r="K26" s="47"/>
      <c r="L26" s="47" t="str">
        <f>_xlfn.IFNA(INDEX('[3]3.5.1'!$1:$104,MATCH(L$4,'[3]3.5.1'!$A:$A,0),MATCH(Summary!$C26,'[3]3.5.1'!$1:$1,0)),"")</f>
        <v/>
      </c>
      <c r="M26" s="47"/>
      <c r="N26" s="47"/>
      <c r="O26" s="47">
        <f>_xlfn.IFNA(INDEX('[3]3.5.1'!$1:$104,MATCH(O$4,'[3]3.5.1'!$A:$A,0),MATCH(Summary!$C26,'[3]3.5.1'!$1:$1,0)),"")</f>
        <v>50927.35</v>
      </c>
      <c r="P26" s="47"/>
      <c r="Q26" s="47"/>
      <c r="R26" s="47" t="str">
        <f>_xlfn.IFNA(INDEX('[3]3.5.1'!$1:$104,MATCH(R$4,'[3]3.5.1'!$A:$A,0),MATCH(Summary!$C26,'[3]3.5.1'!$1:$1,0)),"")</f>
        <v/>
      </c>
      <c r="S26" s="47"/>
      <c r="T26" s="47"/>
      <c r="U26" s="47" t="str">
        <f>_xlfn.IFNA(INDEX('[3]3.5.1'!$1:$104,MATCH(U$4,'[3]3.5.1'!$A:$A,0),MATCH(Summary!$C26,'[3]3.5.1'!$1:$1,0)),"")</f>
        <v/>
      </c>
      <c r="V26" s="47"/>
      <c r="W26" s="47"/>
      <c r="X26" s="47">
        <f>_xlfn.IFNA(INDEX('[3]3.5.1'!$1:$104,MATCH(X$4,'[3]3.5.1'!$A:$A,0),MATCH(Summary!$C26,'[3]3.5.1'!$1:$1,0)),"")</f>
        <v>54660.551</v>
      </c>
      <c r="Y26" s="47"/>
      <c r="Z26" s="47"/>
      <c r="AA26" s="47" t="str">
        <f>_xlfn.IFNA(INDEX('[3]3.5.1'!$1:$104,MATCH(AA$4,'[3]3.5.1'!$A:$A,0),MATCH(Summary!$C26,'[3]3.5.1'!$1:$1,0)),"")</f>
        <v/>
      </c>
      <c r="AB26" s="47"/>
      <c r="AC26" s="47"/>
      <c r="AD26" s="47" t="str">
        <f>_xlfn.IFNA(INDEX('[3]3.5.1'!$1:$104,MATCH(AD$4,'[3]3.5.1'!$A:$A,0),MATCH(Summary!$C26,'[3]3.5.1'!$1:$1,0)),"")</f>
        <v/>
      </c>
      <c r="AE26" s="47"/>
      <c r="AF26" s="47"/>
      <c r="AG26" s="47">
        <f>_xlfn.IFNA(INDEX('[3]3.5.1'!$1:$104,MATCH(AG$4,'[3]3.5.1'!$A:$A,0),MATCH(Summary!$C26,'[3]3.5.1'!$1:$1,0)),"")</f>
        <v>48059.887</v>
      </c>
      <c r="AH26" s="47"/>
      <c r="AI26" s="47"/>
      <c r="AJ26" s="47" t="str">
        <f>_xlfn.IFNA(INDEX('[3]3.5.1'!$1:$104,MATCH(AJ$4,'[3]3.5.1'!$A:$A,0),MATCH(Summary!$C26,'[3]3.5.1'!$1:$1,0)),"")</f>
        <v/>
      </c>
      <c r="AK26" s="47"/>
      <c r="AL26" s="47"/>
      <c r="AM26" s="47" t="str">
        <f>_xlfn.IFNA(INDEX('[3]3.5.1'!$1:$104,MATCH(AM$4,'[3]3.5.1'!$A:$A,0),MATCH(Summary!$C26,'[3]3.5.1'!$1:$1,0)),"")</f>
        <v/>
      </c>
      <c r="AN26" s="47"/>
      <c r="AO26" s="47"/>
      <c r="AP26" s="47">
        <f>_xlfn.IFNA(INDEX('[3]3.5.1'!$1:$104,MATCH(AP$4,'[3]3.5.1'!$A:$A,0),MATCH(Summary!$C26,'[3]3.5.1'!$1:$1,0)),"")</f>
        <v>44422.916</v>
      </c>
      <c r="AQ26" s="47"/>
      <c r="AR26" s="47"/>
      <c r="AS26" s="47" t="str">
        <f>_xlfn.IFNA(INDEX('[3]3.5.1'!$1:$104,MATCH(AS$4,'[3]3.5.1'!$A:$A,0),MATCH(Summary!$C26,'[3]3.5.1'!$1:$1,0)),"")</f>
        <v/>
      </c>
      <c r="AT26" s="47"/>
      <c r="AU26" s="47"/>
      <c r="AV26" s="47" t="str">
        <f>_xlfn.IFNA(INDEX('[3]3.5.1'!$1:$104,MATCH(AV$4,'[3]3.5.1'!$A:$A,0),MATCH(Summary!$C26,'[3]3.5.1'!$1:$1,0)),"")</f>
        <v/>
      </c>
      <c r="AW26" s="47"/>
      <c r="AX26" s="47"/>
      <c r="AY26" s="47">
        <f>_xlfn.IFNA(INDEX('[3]3.5.1'!$1:$104,MATCH(AY$4,'[3]3.5.1'!$A:$A,0),MATCH(Summary!$C26,'[3]3.5.1'!$1:$1,0)),"")</f>
        <v>46438.408</v>
      </c>
      <c r="AZ26" s="47"/>
      <c r="BA26" s="47"/>
      <c r="BB26" s="47">
        <f>_xlfn.IFNA(INDEX('[3]3.5.1'!$1:$104,MATCH(BB$4,'[3]3.5.1'!$A:$A,0),MATCH(Summary!$C26,'[3]3.5.1'!$1:$1,0)),"")</f>
        <v>46051.827</v>
      </c>
      <c r="BC26" s="47"/>
      <c r="BD26" s="47"/>
      <c r="BE26" s="47" t="str">
        <f>_xlfn.IFNA(INDEX('[3]3.5.1'!$1:$104,MATCH(BE$4,'[3]3.5.1'!$A:$A,0),MATCH(Summary!$C26,'[3]3.5.1'!$1:$1,0)),"")</f>
        <v/>
      </c>
      <c r="BF26" s="47"/>
      <c r="BG26" s="47"/>
      <c r="BH26" s="47" t="str">
        <f>_xlfn.IFNA(INDEX('[3]3.5.1'!$1:$104,MATCH(BH$4,'[3]3.5.1'!$A:$A,0),MATCH(Summary!$C26,'[3]3.5.1'!$1:$1,0)),"")</f>
        <v/>
      </c>
      <c r="BI26" s="47"/>
      <c r="BJ26" s="47"/>
      <c r="BK26" s="47" t="str">
        <f>_xlfn.IFNA(INDEX('[3]3.5.1'!$1:$104,MATCH(BK$4,'[3]3.5.1'!$A:$A,0),MATCH(Summary!$C26,'[3]3.5.1'!$1:$1,0)),"")</f>
        <v/>
      </c>
    </row>
    <row r="27" s="1" customFormat="1" ht="16.5" hidden="1" customHeight="1" outlineLevel="2" spans="1:63">
      <c r="A27" s="22"/>
      <c r="B27" s="22"/>
      <c r="C27" s="22" t="s">
        <v>422</v>
      </c>
      <c r="D27" s="42"/>
      <c r="E27" s="42"/>
      <c r="F27" s="57" t="s">
        <v>423</v>
      </c>
      <c r="G27" s="58" t="s">
        <v>424</v>
      </c>
      <c r="H27" s="45">
        <f t="shared" si="9"/>
        <v>0.00234060058366274</v>
      </c>
      <c r="I27" s="46" t="str">
        <f t="shared" si="10"/>
        <v/>
      </c>
      <c r="J27" s="47"/>
      <c r="K27" s="47"/>
      <c r="L27" s="47" t="str">
        <f>_xlfn.IFNA(INDEX('[3]3.5.1'!$1:$104,MATCH(L$4,'[3]3.5.1'!$A:$A,0),MATCH(Summary!$C27,'[3]3.5.1'!$1:$1,0)),"")</f>
        <v/>
      </c>
      <c r="M27" s="47"/>
      <c r="N27" s="47"/>
      <c r="O27" s="47">
        <f>_xlfn.IFNA(INDEX('[3]3.5.1'!$1:$104,MATCH(O$4,'[3]3.5.1'!$A:$A,0),MATCH(Summary!$C27,'[3]3.5.1'!$1:$1,0)),"")</f>
        <v>25250.155</v>
      </c>
      <c r="P27" s="47"/>
      <c r="Q27" s="47"/>
      <c r="R27" s="47" t="str">
        <f>_xlfn.IFNA(INDEX('[3]3.5.1'!$1:$104,MATCH(R$4,'[3]3.5.1'!$A:$A,0),MATCH(Summary!$C27,'[3]3.5.1'!$1:$1,0)),"")</f>
        <v/>
      </c>
      <c r="S27" s="47"/>
      <c r="T27" s="47"/>
      <c r="U27" s="47" t="str">
        <f>_xlfn.IFNA(INDEX('[3]3.5.1'!$1:$104,MATCH(U$4,'[3]3.5.1'!$A:$A,0),MATCH(Summary!$C27,'[3]3.5.1'!$1:$1,0)),"")</f>
        <v/>
      </c>
      <c r="V27" s="47"/>
      <c r="W27" s="47"/>
      <c r="X27" s="47">
        <f>_xlfn.IFNA(INDEX('[3]3.5.1'!$1:$104,MATCH(X$4,'[3]3.5.1'!$A:$A,0),MATCH(Summary!$C27,'[3]3.5.1'!$1:$1,0)),"")</f>
        <v>21536.222</v>
      </c>
      <c r="Y27" s="47"/>
      <c r="Z27" s="47"/>
      <c r="AA27" s="47" t="str">
        <f>_xlfn.IFNA(INDEX('[3]3.5.1'!$1:$104,MATCH(AA$4,'[3]3.5.1'!$A:$A,0),MATCH(Summary!$C27,'[3]3.5.1'!$1:$1,0)),"")</f>
        <v/>
      </c>
      <c r="AB27" s="47"/>
      <c r="AC27" s="47"/>
      <c r="AD27" s="47" t="str">
        <f>_xlfn.IFNA(INDEX('[3]3.5.1'!$1:$104,MATCH(AD$4,'[3]3.5.1'!$A:$A,0),MATCH(Summary!$C27,'[3]3.5.1'!$1:$1,0)),"")</f>
        <v/>
      </c>
      <c r="AE27" s="47"/>
      <c r="AF27" s="47"/>
      <c r="AG27" s="47">
        <f>_xlfn.IFNA(INDEX('[3]3.5.1'!$1:$104,MATCH(AG$4,'[3]3.5.1'!$A:$A,0),MATCH(Summary!$C27,'[3]3.5.1'!$1:$1,0)),"")</f>
        <v>21795.043</v>
      </c>
      <c r="AH27" s="47"/>
      <c r="AI27" s="47"/>
      <c r="AJ27" s="47" t="str">
        <f>_xlfn.IFNA(INDEX('[3]3.5.1'!$1:$104,MATCH(AJ$4,'[3]3.5.1'!$A:$A,0),MATCH(Summary!$C27,'[3]3.5.1'!$1:$1,0)),"")</f>
        <v/>
      </c>
      <c r="AK27" s="47"/>
      <c r="AL27" s="47"/>
      <c r="AM27" s="47" t="str">
        <f>_xlfn.IFNA(INDEX('[3]3.5.1'!$1:$104,MATCH(AM$4,'[3]3.5.1'!$A:$A,0),MATCH(Summary!$C27,'[3]3.5.1'!$1:$1,0)),"")</f>
        <v/>
      </c>
      <c r="AN27" s="47"/>
      <c r="AO27" s="47"/>
      <c r="AP27" s="47">
        <f>_xlfn.IFNA(INDEX('[3]3.5.1'!$1:$104,MATCH(AP$4,'[3]3.5.1'!$A:$A,0),MATCH(Summary!$C27,'[3]3.5.1'!$1:$1,0)),"")</f>
        <v>26661.418</v>
      </c>
      <c r="AQ27" s="47"/>
      <c r="AR27" s="47"/>
      <c r="AS27" s="47" t="str">
        <f>_xlfn.IFNA(INDEX('[3]3.5.1'!$1:$104,MATCH(AS$4,'[3]3.5.1'!$A:$A,0),MATCH(Summary!$C27,'[3]3.5.1'!$1:$1,0)),"")</f>
        <v/>
      </c>
      <c r="AT27" s="47"/>
      <c r="AU27" s="47"/>
      <c r="AV27" s="47" t="str">
        <f>_xlfn.IFNA(INDEX('[3]3.5.1'!$1:$104,MATCH(AV$4,'[3]3.5.1'!$A:$A,0),MATCH(Summary!$C27,'[3]3.5.1'!$1:$1,0)),"")</f>
        <v/>
      </c>
      <c r="AW27" s="47"/>
      <c r="AX27" s="47"/>
      <c r="AY27" s="47">
        <f>_xlfn.IFNA(INDEX('[3]3.5.1'!$1:$104,MATCH(AY$4,'[3]3.5.1'!$A:$A,0),MATCH(Summary!$C27,'[3]3.5.1'!$1:$1,0)),"")</f>
        <v>26633.559</v>
      </c>
      <c r="AZ27" s="47"/>
      <c r="BA27" s="47"/>
      <c r="BB27" s="47">
        <f>_xlfn.IFNA(INDEX('[3]3.5.1'!$1:$104,MATCH(BB$4,'[3]3.5.1'!$A:$A,0),MATCH(Summary!$C27,'[3]3.5.1'!$1:$1,0)),"")</f>
        <v>23465.175</v>
      </c>
      <c r="BC27" s="47"/>
      <c r="BD27" s="47"/>
      <c r="BE27" s="47" t="str">
        <f>_xlfn.IFNA(INDEX('[3]3.5.1'!$1:$104,MATCH(BE$4,'[3]3.5.1'!$A:$A,0),MATCH(Summary!$C27,'[3]3.5.1'!$1:$1,0)),"")</f>
        <v/>
      </c>
      <c r="BF27" s="47"/>
      <c r="BG27" s="47"/>
      <c r="BH27" s="47" t="str">
        <f>_xlfn.IFNA(INDEX('[3]3.5.1'!$1:$104,MATCH(BH$4,'[3]3.5.1'!$A:$A,0),MATCH(Summary!$C27,'[3]3.5.1'!$1:$1,0)),"")</f>
        <v/>
      </c>
      <c r="BI27" s="47"/>
      <c r="BJ27" s="47"/>
      <c r="BK27" s="47" t="str">
        <f>_xlfn.IFNA(INDEX('[3]3.5.1'!$1:$104,MATCH(BK$4,'[3]3.5.1'!$A:$A,0),MATCH(Summary!$C27,'[3]3.5.1'!$1:$1,0)),"")</f>
        <v/>
      </c>
    </row>
    <row r="28" s="1" customFormat="1" ht="16.5" hidden="1" customHeight="1" outlineLevel="2" spans="1:63">
      <c r="A28" s="22"/>
      <c r="B28" s="22"/>
      <c r="C28" s="22" t="s">
        <v>425</v>
      </c>
      <c r="D28" s="42"/>
      <c r="E28" s="42"/>
      <c r="F28" s="57" t="s">
        <v>426</v>
      </c>
      <c r="G28" s="58" t="s">
        <v>427</v>
      </c>
      <c r="H28" s="45">
        <f t="shared" si="9"/>
        <v>0.00162990452164282</v>
      </c>
      <c r="I28" s="46" t="str">
        <f t="shared" si="10"/>
        <v/>
      </c>
      <c r="J28" s="47"/>
      <c r="K28" s="47"/>
      <c r="L28" s="47" t="str">
        <f>_xlfn.IFNA(INDEX('[3]3.5.1'!$1:$104,MATCH(L$4,'[3]3.5.1'!$A:$A,0),MATCH(Summary!$C28,'[3]3.5.1'!$1:$1,0)),"")</f>
        <v/>
      </c>
      <c r="M28" s="47"/>
      <c r="N28" s="47"/>
      <c r="O28" s="47">
        <f>_xlfn.IFNA(INDEX('[3]3.5.1'!$1:$104,MATCH(O$4,'[3]3.5.1'!$A:$A,0),MATCH(Summary!$C28,'[3]3.5.1'!$1:$1,0)),"")</f>
        <v>17583.24</v>
      </c>
      <c r="P28" s="47"/>
      <c r="Q28" s="47"/>
      <c r="R28" s="47" t="str">
        <f>_xlfn.IFNA(INDEX('[3]3.5.1'!$1:$104,MATCH(R$4,'[3]3.5.1'!$A:$A,0),MATCH(Summary!$C28,'[3]3.5.1'!$1:$1,0)),"")</f>
        <v/>
      </c>
      <c r="S28" s="47"/>
      <c r="T28" s="47"/>
      <c r="U28" s="47" t="str">
        <f>_xlfn.IFNA(INDEX('[3]3.5.1'!$1:$104,MATCH(U$4,'[3]3.5.1'!$A:$A,0),MATCH(Summary!$C28,'[3]3.5.1'!$1:$1,0)),"")</f>
        <v/>
      </c>
      <c r="V28" s="47"/>
      <c r="W28" s="47"/>
      <c r="X28" s="47">
        <f>_xlfn.IFNA(INDEX('[3]3.5.1'!$1:$104,MATCH(X$4,'[3]3.5.1'!$A:$A,0),MATCH(Summary!$C28,'[3]3.5.1'!$1:$1,0)),"")</f>
        <v>13861.623</v>
      </c>
      <c r="Y28" s="47"/>
      <c r="Z28" s="47"/>
      <c r="AA28" s="47" t="str">
        <f>_xlfn.IFNA(INDEX('[3]3.5.1'!$1:$104,MATCH(AA$4,'[3]3.5.1'!$A:$A,0),MATCH(Summary!$C28,'[3]3.5.1'!$1:$1,0)),"")</f>
        <v/>
      </c>
      <c r="AB28" s="47"/>
      <c r="AC28" s="47"/>
      <c r="AD28" s="47" t="str">
        <f>_xlfn.IFNA(INDEX('[3]3.5.1'!$1:$104,MATCH(AD$4,'[3]3.5.1'!$A:$A,0),MATCH(Summary!$C28,'[3]3.5.1'!$1:$1,0)),"")</f>
        <v/>
      </c>
      <c r="AE28" s="47"/>
      <c r="AF28" s="47"/>
      <c r="AG28" s="47">
        <f>_xlfn.IFNA(INDEX('[3]3.5.1'!$1:$104,MATCH(AG$4,'[3]3.5.1'!$A:$A,0),MATCH(Summary!$C28,'[3]3.5.1'!$1:$1,0)),"")</f>
        <v>10977.891</v>
      </c>
      <c r="AH28" s="47"/>
      <c r="AI28" s="47"/>
      <c r="AJ28" s="47" t="str">
        <f>_xlfn.IFNA(INDEX('[3]3.5.1'!$1:$104,MATCH(AJ$4,'[3]3.5.1'!$A:$A,0),MATCH(Summary!$C28,'[3]3.5.1'!$1:$1,0)),"")</f>
        <v/>
      </c>
      <c r="AK28" s="47"/>
      <c r="AL28" s="47"/>
      <c r="AM28" s="47" t="str">
        <f>_xlfn.IFNA(INDEX('[3]3.5.1'!$1:$104,MATCH(AM$4,'[3]3.5.1'!$A:$A,0),MATCH(Summary!$C28,'[3]3.5.1'!$1:$1,0)),"")</f>
        <v/>
      </c>
      <c r="AN28" s="47"/>
      <c r="AO28" s="47"/>
      <c r="AP28" s="47">
        <f>_xlfn.IFNA(INDEX('[3]3.5.1'!$1:$104,MATCH(AP$4,'[3]3.5.1'!$A:$A,0),MATCH(Summary!$C28,'[3]3.5.1'!$1:$1,0)),"")</f>
        <v>14172.343</v>
      </c>
      <c r="AQ28" s="47"/>
      <c r="AR28" s="47"/>
      <c r="AS28" s="47" t="str">
        <f>_xlfn.IFNA(INDEX('[3]3.5.1'!$1:$104,MATCH(AS$4,'[3]3.5.1'!$A:$A,0),MATCH(Summary!$C28,'[3]3.5.1'!$1:$1,0)),"")</f>
        <v/>
      </c>
      <c r="AT28" s="47"/>
      <c r="AU28" s="47"/>
      <c r="AV28" s="47" t="str">
        <f>_xlfn.IFNA(INDEX('[3]3.5.1'!$1:$104,MATCH(AV$4,'[3]3.5.1'!$A:$A,0),MATCH(Summary!$C28,'[3]3.5.1'!$1:$1,0)),"")</f>
        <v/>
      </c>
      <c r="AW28" s="47"/>
      <c r="AX28" s="47"/>
      <c r="AY28" s="47">
        <f>_xlfn.IFNA(INDEX('[3]3.5.1'!$1:$104,MATCH(AY$4,'[3]3.5.1'!$A:$A,0),MATCH(Summary!$C28,'[3]3.5.1'!$1:$1,0)),"")</f>
        <v>12774.037</v>
      </c>
      <c r="AZ28" s="47"/>
      <c r="BA28" s="47"/>
      <c r="BB28" s="47">
        <f>_xlfn.IFNA(INDEX('[3]3.5.1'!$1:$104,MATCH(BB$4,'[3]3.5.1'!$A:$A,0),MATCH(Summary!$C28,'[3]3.5.1'!$1:$1,0)),"")</f>
        <v>13452.56</v>
      </c>
      <c r="BC28" s="47"/>
      <c r="BD28" s="47"/>
      <c r="BE28" s="47" t="str">
        <f>_xlfn.IFNA(INDEX('[3]3.5.1'!$1:$104,MATCH(BE$4,'[3]3.5.1'!$A:$A,0),MATCH(Summary!$C28,'[3]3.5.1'!$1:$1,0)),"")</f>
        <v/>
      </c>
      <c r="BF28" s="47"/>
      <c r="BG28" s="47"/>
      <c r="BH28" s="47" t="str">
        <f>_xlfn.IFNA(INDEX('[3]3.5.1'!$1:$104,MATCH(BH$4,'[3]3.5.1'!$A:$A,0),MATCH(Summary!$C28,'[3]3.5.1'!$1:$1,0)),"")</f>
        <v/>
      </c>
      <c r="BI28" s="47"/>
      <c r="BJ28" s="47"/>
      <c r="BK28" s="47" t="str">
        <f>_xlfn.IFNA(INDEX('[3]3.5.1'!$1:$104,MATCH(BK$4,'[3]3.5.1'!$A:$A,0),MATCH(Summary!$C28,'[3]3.5.1'!$1:$1,0)),"")</f>
        <v/>
      </c>
    </row>
    <row r="29" s="1" customFormat="1" ht="16.5" hidden="1" customHeight="1" outlineLevel="2" spans="1:63">
      <c r="A29" s="22"/>
      <c r="B29" s="22"/>
      <c r="C29" s="22" t="s">
        <v>428</v>
      </c>
      <c r="D29" s="42"/>
      <c r="E29" s="42"/>
      <c r="F29" s="57" t="s">
        <v>429</v>
      </c>
      <c r="G29" s="58" t="s">
        <v>430</v>
      </c>
      <c r="H29" s="45">
        <f t="shared" si="9"/>
        <v>0.000422662502653604</v>
      </c>
      <c r="I29" s="46" t="str">
        <f t="shared" si="10"/>
        <v/>
      </c>
      <c r="J29" s="47"/>
      <c r="K29" s="47"/>
      <c r="L29" s="47" t="str">
        <f>_xlfn.IFNA(INDEX('[3]3.5.1'!$1:$104,MATCH(L$4,'[3]3.5.1'!$A:$A,0),MATCH(Summary!$C29,'[3]3.5.1'!$1:$1,0)),"")</f>
        <v/>
      </c>
      <c r="M29" s="47"/>
      <c r="N29" s="47"/>
      <c r="O29" s="47">
        <f>_xlfn.IFNA(INDEX('[3]3.5.1'!$1:$104,MATCH(O$4,'[3]3.5.1'!$A:$A,0),MATCH(Summary!$C29,'[3]3.5.1'!$1:$1,0)),"")</f>
        <v>4559.639</v>
      </c>
      <c r="P29" s="47"/>
      <c r="Q29" s="47"/>
      <c r="R29" s="47" t="str">
        <f>_xlfn.IFNA(INDEX('[3]3.5.1'!$1:$104,MATCH(R$4,'[3]3.5.1'!$A:$A,0),MATCH(Summary!$C29,'[3]3.5.1'!$1:$1,0)),"")</f>
        <v/>
      </c>
      <c r="S29" s="47"/>
      <c r="T29" s="47"/>
      <c r="U29" s="47" t="str">
        <f>_xlfn.IFNA(INDEX('[3]3.5.1'!$1:$104,MATCH(U$4,'[3]3.5.1'!$A:$A,0),MATCH(Summary!$C29,'[3]3.5.1'!$1:$1,0)),"")</f>
        <v/>
      </c>
      <c r="V29" s="47"/>
      <c r="W29" s="47"/>
      <c r="X29" s="47">
        <f>_xlfn.IFNA(INDEX('[3]3.5.1'!$1:$104,MATCH(X$4,'[3]3.5.1'!$A:$A,0),MATCH(Summary!$C29,'[3]3.5.1'!$1:$1,0)),"")</f>
        <v>4752.796</v>
      </c>
      <c r="Y29" s="47"/>
      <c r="Z29" s="47"/>
      <c r="AA29" s="47" t="str">
        <f>_xlfn.IFNA(INDEX('[3]3.5.1'!$1:$104,MATCH(AA$4,'[3]3.5.1'!$A:$A,0),MATCH(Summary!$C29,'[3]3.5.1'!$1:$1,0)),"")</f>
        <v/>
      </c>
      <c r="AB29" s="47"/>
      <c r="AC29" s="47"/>
      <c r="AD29" s="47" t="str">
        <f>_xlfn.IFNA(INDEX('[3]3.5.1'!$1:$104,MATCH(AD$4,'[3]3.5.1'!$A:$A,0),MATCH(Summary!$C29,'[3]3.5.1'!$1:$1,0)),"")</f>
        <v/>
      </c>
      <c r="AE29" s="47"/>
      <c r="AF29" s="47"/>
      <c r="AG29" s="47">
        <f>_xlfn.IFNA(INDEX('[3]3.5.1'!$1:$104,MATCH(AG$4,'[3]3.5.1'!$A:$A,0),MATCH(Summary!$C29,'[3]3.5.1'!$1:$1,0)),"")</f>
        <v>4592.36</v>
      </c>
      <c r="AH29" s="47"/>
      <c r="AI29" s="47"/>
      <c r="AJ29" s="47" t="str">
        <f>_xlfn.IFNA(INDEX('[3]3.5.1'!$1:$104,MATCH(AJ$4,'[3]3.5.1'!$A:$A,0),MATCH(Summary!$C29,'[3]3.5.1'!$1:$1,0)),"")</f>
        <v/>
      </c>
      <c r="AK29" s="47"/>
      <c r="AL29" s="47"/>
      <c r="AM29" s="47" t="str">
        <f>_xlfn.IFNA(INDEX('[3]3.5.1'!$1:$104,MATCH(AM$4,'[3]3.5.1'!$A:$A,0),MATCH(Summary!$C29,'[3]3.5.1'!$1:$1,0)),"")</f>
        <v/>
      </c>
      <c r="AN29" s="47"/>
      <c r="AO29" s="47"/>
      <c r="AP29" s="47">
        <f>_xlfn.IFNA(INDEX('[3]3.5.1'!$1:$104,MATCH(AP$4,'[3]3.5.1'!$A:$A,0),MATCH(Summary!$C29,'[3]3.5.1'!$1:$1,0)),"")</f>
        <v>4926.074</v>
      </c>
      <c r="AQ29" s="47"/>
      <c r="AR29" s="47"/>
      <c r="AS29" s="47" t="str">
        <f>_xlfn.IFNA(INDEX('[3]3.5.1'!$1:$104,MATCH(AS$4,'[3]3.5.1'!$A:$A,0),MATCH(Summary!$C29,'[3]3.5.1'!$1:$1,0)),"")</f>
        <v/>
      </c>
      <c r="AT29" s="47"/>
      <c r="AU29" s="47"/>
      <c r="AV29" s="47" t="str">
        <f>_xlfn.IFNA(INDEX('[3]3.5.1'!$1:$104,MATCH(AV$4,'[3]3.5.1'!$A:$A,0),MATCH(Summary!$C29,'[3]3.5.1'!$1:$1,0)),"")</f>
        <v/>
      </c>
      <c r="AW29" s="47"/>
      <c r="AX29" s="47"/>
      <c r="AY29" s="47">
        <f>_xlfn.IFNA(INDEX('[3]3.5.1'!$1:$104,MATCH(AY$4,'[3]3.5.1'!$A:$A,0),MATCH(Summary!$C29,'[3]3.5.1'!$1:$1,0)),"")</f>
        <v>4869.311</v>
      </c>
      <c r="AZ29" s="47"/>
      <c r="BA29" s="47"/>
      <c r="BB29" s="47">
        <f>_xlfn.IFNA(INDEX('[3]3.5.1'!$1:$104,MATCH(BB$4,'[3]3.5.1'!$A:$A,0),MATCH(Summary!$C29,'[3]3.5.1'!$1:$1,0)),"")</f>
        <v>4312.302</v>
      </c>
      <c r="BC29" s="47"/>
      <c r="BD29" s="47"/>
      <c r="BE29" s="47" t="str">
        <f>_xlfn.IFNA(INDEX('[3]3.5.1'!$1:$104,MATCH(BE$4,'[3]3.5.1'!$A:$A,0),MATCH(Summary!$C29,'[3]3.5.1'!$1:$1,0)),"")</f>
        <v/>
      </c>
      <c r="BF29" s="47"/>
      <c r="BG29" s="47"/>
      <c r="BH29" s="47" t="str">
        <f>_xlfn.IFNA(INDEX('[3]3.5.1'!$1:$104,MATCH(BH$4,'[3]3.5.1'!$A:$A,0),MATCH(Summary!$C29,'[3]3.5.1'!$1:$1,0)),"")</f>
        <v/>
      </c>
      <c r="BI29" s="47"/>
      <c r="BJ29" s="47"/>
      <c r="BK29" s="47" t="str">
        <f>_xlfn.IFNA(INDEX('[3]3.5.1'!$1:$104,MATCH(BK$4,'[3]3.5.1'!$A:$A,0),MATCH(Summary!$C29,'[3]3.5.1'!$1:$1,0)),"")</f>
        <v/>
      </c>
    </row>
    <row r="30" s="1" customFormat="1" ht="16.5" hidden="1" customHeight="1" outlineLevel="2" spans="1:63">
      <c r="A30" s="22"/>
      <c r="B30" s="22"/>
      <c r="C30" s="22" t="s">
        <v>431</v>
      </c>
      <c r="D30" s="42"/>
      <c r="E30" s="42"/>
      <c r="F30" s="57" t="s">
        <v>432</v>
      </c>
      <c r="G30" s="58" t="s">
        <v>433</v>
      </c>
      <c r="H30" s="45">
        <f t="shared" si="9"/>
        <v>0.00873955927244692</v>
      </c>
      <c r="I30" s="46" t="str">
        <f t="shared" si="10"/>
        <v/>
      </c>
      <c r="J30" s="47"/>
      <c r="K30" s="47"/>
      <c r="L30" s="47" t="str">
        <f>_xlfn.IFNA(INDEX('[3]3.5.1'!$1:$104,MATCH(L$4,'[3]3.5.1'!$A:$A,0),MATCH(Summary!$C30,'[3]3.5.1'!$1:$1,0)),"")</f>
        <v/>
      </c>
      <c r="M30" s="47"/>
      <c r="N30" s="47"/>
      <c r="O30" s="47">
        <f>_xlfn.IFNA(INDEX('[3]3.5.1'!$1:$104,MATCH(O$4,'[3]3.5.1'!$A:$A,0),MATCH(Summary!$C30,'[3]3.5.1'!$1:$1,0)),"")</f>
        <v>94281.454</v>
      </c>
      <c r="P30" s="47"/>
      <c r="Q30" s="47"/>
      <c r="R30" s="47" t="str">
        <f>_xlfn.IFNA(INDEX('[3]3.5.1'!$1:$104,MATCH(R$4,'[3]3.5.1'!$A:$A,0),MATCH(Summary!$C30,'[3]3.5.1'!$1:$1,0)),"")</f>
        <v/>
      </c>
      <c r="S30" s="47"/>
      <c r="T30" s="47"/>
      <c r="U30" s="47" t="str">
        <f>_xlfn.IFNA(INDEX('[3]3.5.1'!$1:$104,MATCH(U$4,'[3]3.5.1'!$A:$A,0),MATCH(Summary!$C30,'[3]3.5.1'!$1:$1,0)),"")</f>
        <v/>
      </c>
      <c r="V30" s="47"/>
      <c r="W30" s="47"/>
      <c r="X30" s="47">
        <f>_xlfn.IFNA(INDEX('[3]3.5.1'!$1:$104,MATCH(X$4,'[3]3.5.1'!$A:$A,0),MATCH(Summary!$C30,'[3]3.5.1'!$1:$1,0)),"")</f>
        <v>81216.584</v>
      </c>
      <c r="Y30" s="47"/>
      <c r="Z30" s="47"/>
      <c r="AA30" s="47" t="str">
        <f>_xlfn.IFNA(INDEX('[3]3.5.1'!$1:$104,MATCH(AA$4,'[3]3.5.1'!$A:$A,0),MATCH(Summary!$C30,'[3]3.5.1'!$1:$1,0)),"")</f>
        <v/>
      </c>
      <c r="AB30" s="47"/>
      <c r="AC30" s="47"/>
      <c r="AD30" s="47" t="str">
        <f>_xlfn.IFNA(INDEX('[3]3.5.1'!$1:$104,MATCH(AD$4,'[3]3.5.1'!$A:$A,0),MATCH(Summary!$C30,'[3]3.5.1'!$1:$1,0)),"")</f>
        <v/>
      </c>
      <c r="AE30" s="47"/>
      <c r="AF30" s="47"/>
      <c r="AG30" s="47">
        <f>_xlfn.IFNA(INDEX('[3]3.5.1'!$1:$104,MATCH(AG$4,'[3]3.5.1'!$A:$A,0),MATCH(Summary!$C30,'[3]3.5.1'!$1:$1,0)),"")</f>
        <v>75200.913</v>
      </c>
      <c r="AH30" s="47"/>
      <c r="AI30" s="47"/>
      <c r="AJ30" s="47" t="str">
        <f>_xlfn.IFNA(INDEX('[3]3.5.1'!$1:$104,MATCH(AJ$4,'[3]3.5.1'!$A:$A,0),MATCH(Summary!$C30,'[3]3.5.1'!$1:$1,0)),"")</f>
        <v/>
      </c>
      <c r="AK30" s="47"/>
      <c r="AL30" s="47"/>
      <c r="AM30" s="47" t="str">
        <f>_xlfn.IFNA(INDEX('[3]3.5.1'!$1:$104,MATCH(AM$4,'[3]3.5.1'!$A:$A,0),MATCH(Summary!$C30,'[3]3.5.1'!$1:$1,0)),"")</f>
        <v/>
      </c>
      <c r="AN30" s="47"/>
      <c r="AO30" s="47"/>
      <c r="AP30" s="47">
        <f>_xlfn.IFNA(INDEX('[3]3.5.1'!$1:$104,MATCH(AP$4,'[3]3.5.1'!$A:$A,0),MATCH(Summary!$C30,'[3]3.5.1'!$1:$1,0)),"")</f>
        <v>74048.774</v>
      </c>
      <c r="AQ30" s="47"/>
      <c r="AR30" s="47"/>
      <c r="AS30" s="47" t="str">
        <f>_xlfn.IFNA(INDEX('[3]3.5.1'!$1:$104,MATCH(AS$4,'[3]3.5.1'!$A:$A,0),MATCH(Summary!$C30,'[3]3.5.1'!$1:$1,0)),"")</f>
        <v/>
      </c>
      <c r="AT30" s="47"/>
      <c r="AU30" s="47"/>
      <c r="AV30" s="47" t="str">
        <f>_xlfn.IFNA(INDEX('[3]3.5.1'!$1:$104,MATCH(AV$4,'[3]3.5.1'!$A:$A,0),MATCH(Summary!$C30,'[3]3.5.1'!$1:$1,0)),"")</f>
        <v/>
      </c>
      <c r="AW30" s="47"/>
      <c r="AX30" s="47"/>
      <c r="AY30" s="47">
        <f>_xlfn.IFNA(INDEX('[3]3.5.1'!$1:$104,MATCH(AY$4,'[3]3.5.1'!$A:$A,0),MATCH(Summary!$C30,'[3]3.5.1'!$1:$1,0)),"")</f>
        <v>82678.003</v>
      </c>
      <c r="AZ30" s="47"/>
      <c r="BA30" s="47"/>
      <c r="BB30" s="47">
        <f>_xlfn.IFNA(INDEX('[3]3.5.1'!$1:$104,MATCH(BB$4,'[3]3.5.1'!$A:$A,0),MATCH(Summary!$C30,'[3]3.5.1'!$1:$1,0)),"")</f>
        <v>72487.679</v>
      </c>
      <c r="BC30" s="47"/>
      <c r="BD30" s="47"/>
      <c r="BE30" s="47" t="str">
        <f>_xlfn.IFNA(INDEX('[3]3.5.1'!$1:$104,MATCH(BE$4,'[3]3.5.1'!$A:$A,0),MATCH(Summary!$C30,'[3]3.5.1'!$1:$1,0)),"")</f>
        <v/>
      </c>
      <c r="BF30" s="47"/>
      <c r="BG30" s="47"/>
      <c r="BH30" s="47" t="str">
        <f>_xlfn.IFNA(INDEX('[3]3.5.1'!$1:$104,MATCH(BH$4,'[3]3.5.1'!$A:$A,0),MATCH(Summary!$C30,'[3]3.5.1'!$1:$1,0)),"")</f>
        <v/>
      </c>
      <c r="BI30" s="47"/>
      <c r="BJ30" s="47"/>
      <c r="BK30" s="47" t="str">
        <f>_xlfn.IFNA(INDEX('[3]3.5.1'!$1:$104,MATCH(BK$4,'[3]3.5.1'!$A:$A,0),MATCH(Summary!$C30,'[3]3.5.1'!$1:$1,0)),"")</f>
        <v/>
      </c>
    </row>
    <row r="31" s="1" customFormat="1" ht="16.5" customHeight="1" outlineLevel="1" collapsed="1" spans="1:63">
      <c r="A31" s="22"/>
      <c r="B31" s="22"/>
      <c r="C31" s="22" t="s">
        <v>434</v>
      </c>
      <c r="D31" s="59"/>
      <c r="E31" s="59"/>
      <c r="F31" s="59" t="s">
        <v>435</v>
      </c>
      <c r="G31" s="59" t="s">
        <v>436</v>
      </c>
      <c r="H31" s="60">
        <f t="shared" si="9"/>
        <v>0</v>
      </c>
      <c r="I31" s="61" t="str">
        <f t="shared" si="10"/>
        <v/>
      </c>
      <c r="J31" s="62"/>
      <c r="K31" s="62"/>
      <c r="L31" s="62" t="str">
        <f>_xlfn.IFNA(INDEX('[3]3.5.1'!$1:$104,MATCH(L$4,'[3]3.5.1'!$A:$A,0),MATCH(Summary!$C31,'[3]3.5.1'!$1:$1,0)),"")</f>
        <v/>
      </c>
      <c r="M31" s="62"/>
      <c r="N31" s="62"/>
      <c r="O31" s="62">
        <f>_xlfn.IFNA(INDEX('[3]3.5.1'!$1:$104,MATCH(O$4,'[3]3.5.1'!$A:$A,0),MATCH(Summary!$C31,'[3]3.5.1'!$1:$1,0)),"")</f>
        <v>0</v>
      </c>
      <c r="P31" s="62"/>
      <c r="Q31" s="62"/>
      <c r="R31" s="62" t="str">
        <f>_xlfn.IFNA(INDEX('[3]3.5.1'!$1:$104,MATCH(R$4,'[3]3.5.1'!$A:$A,0),MATCH(Summary!$C31,'[3]3.5.1'!$1:$1,0)),"")</f>
        <v/>
      </c>
      <c r="S31" s="62"/>
      <c r="T31" s="62"/>
      <c r="U31" s="62" t="str">
        <f>_xlfn.IFNA(INDEX('[3]3.5.1'!$1:$104,MATCH(U$4,'[3]3.5.1'!$A:$A,0),MATCH(Summary!$C31,'[3]3.5.1'!$1:$1,0)),"")</f>
        <v/>
      </c>
      <c r="V31" s="62"/>
      <c r="W31" s="62"/>
      <c r="X31" s="62">
        <f>_xlfn.IFNA(INDEX('[3]3.5.1'!$1:$104,MATCH(X$4,'[3]3.5.1'!$A:$A,0),MATCH(Summary!$C31,'[3]3.5.1'!$1:$1,0)),"")</f>
        <v>0</v>
      </c>
      <c r="Y31" s="62"/>
      <c r="Z31" s="62"/>
      <c r="AA31" s="62" t="str">
        <f>_xlfn.IFNA(INDEX('[3]3.5.1'!$1:$104,MATCH(AA$4,'[3]3.5.1'!$A:$A,0),MATCH(Summary!$C31,'[3]3.5.1'!$1:$1,0)),"")</f>
        <v/>
      </c>
      <c r="AB31" s="62"/>
      <c r="AC31" s="62"/>
      <c r="AD31" s="62" t="str">
        <f>_xlfn.IFNA(INDEX('[3]3.5.1'!$1:$104,MATCH(AD$4,'[3]3.5.1'!$A:$A,0),MATCH(Summary!$C31,'[3]3.5.1'!$1:$1,0)),"")</f>
        <v/>
      </c>
      <c r="AE31" s="62"/>
      <c r="AF31" s="62"/>
      <c r="AG31" s="62">
        <f>_xlfn.IFNA(INDEX('[3]3.5.1'!$1:$104,MATCH(AG$4,'[3]3.5.1'!$A:$A,0),MATCH(Summary!$C31,'[3]3.5.1'!$1:$1,0)),"")</f>
        <v>0</v>
      </c>
      <c r="AH31" s="62"/>
      <c r="AI31" s="62"/>
      <c r="AJ31" s="62" t="str">
        <f>_xlfn.IFNA(INDEX('[3]3.5.1'!$1:$104,MATCH(AJ$4,'[3]3.5.1'!$A:$A,0),MATCH(Summary!$C31,'[3]3.5.1'!$1:$1,0)),"")</f>
        <v/>
      </c>
      <c r="AK31" s="62"/>
      <c r="AL31" s="62"/>
      <c r="AM31" s="62" t="str">
        <f>_xlfn.IFNA(INDEX('[3]3.5.1'!$1:$104,MATCH(AM$4,'[3]3.5.1'!$A:$A,0),MATCH(Summary!$C31,'[3]3.5.1'!$1:$1,0)),"")</f>
        <v/>
      </c>
      <c r="AN31" s="62"/>
      <c r="AO31" s="62"/>
      <c r="AP31" s="62">
        <f>_xlfn.IFNA(INDEX('[3]3.5.1'!$1:$104,MATCH(AP$4,'[3]3.5.1'!$A:$A,0),MATCH(Summary!$C31,'[3]3.5.1'!$1:$1,0)),"")</f>
        <v>0</v>
      </c>
      <c r="AQ31" s="62"/>
      <c r="AR31" s="62"/>
      <c r="AS31" s="62" t="str">
        <f>_xlfn.IFNA(INDEX('[3]3.5.1'!$1:$104,MATCH(AS$4,'[3]3.5.1'!$A:$A,0),MATCH(Summary!$C31,'[3]3.5.1'!$1:$1,0)),"")</f>
        <v/>
      </c>
      <c r="AT31" s="62"/>
      <c r="AU31" s="62"/>
      <c r="AV31" s="62" t="str">
        <f>_xlfn.IFNA(INDEX('[3]3.5.1'!$1:$104,MATCH(AV$4,'[3]3.5.1'!$A:$A,0),MATCH(Summary!$C31,'[3]3.5.1'!$1:$1,0)),"")</f>
        <v/>
      </c>
      <c r="AW31" s="62"/>
      <c r="AX31" s="62"/>
      <c r="AY31" s="62">
        <f>_xlfn.IFNA(INDEX('[3]3.5.1'!$1:$104,MATCH(AY$4,'[3]3.5.1'!$A:$A,0),MATCH(Summary!$C31,'[3]3.5.1'!$1:$1,0)),"")</f>
        <v>0</v>
      </c>
      <c r="AZ31" s="62"/>
      <c r="BA31" s="62"/>
      <c r="BB31" s="62">
        <f>_xlfn.IFNA(INDEX('[3]3.5.1'!$1:$104,MATCH(BB$4,'[3]3.5.1'!$A:$A,0),MATCH(Summary!$C31,'[3]3.5.1'!$1:$1,0)),"")</f>
        <v>0</v>
      </c>
      <c r="BC31" s="62"/>
      <c r="BD31" s="62"/>
      <c r="BE31" s="62" t="str">
        <f>_xlfn.IFNA(INDEX('[3]3.5.1'!$1:$104,MATCH(BE$4,'[3]3.5.1'!$A:$A,0),MATCH(Summary!$C31,'[3]3.5.1'!$1:$1,0)),"")</f>
        <v/>
      </c>
      <c r="BF31" s="62"/>
      <c r="BG31" s="62"/>
      <c r="BH31" s="62" t="str">
        <f>_xlfn.IFNA(INDEX('[3]3.5.1'!$1:$104,MATCH(BH$4,'[3]3.5.1'!$A:$A,0),MATCH(Summary!$C31,'[3]3.5.1'!$1:$1,0)),"")</f>
        <v/>
      </c>
      <c r="BI31" s="62"/>
      <c r="BJ31" s="62"/>
      <c r="BK31" s="62" t="str">
        <f>_xlfn.IFNA(INDEX('[3]3.5.1'!$1:$104,MATCH(BK$4,'[3]3.5.1'!$A:$A,0),MATCH(Summary!$C31,'[3]3.5.1'!$1:$1,0)),"")</f>
        <v/>
      </c>
    </row>
    <row r="32" s="1" customFormat="1" ht="16.5" hidden="1" customHeight="1" outlineLevel="2" spans="1:63">
      <c r="A32" s="22"/>
      <c r="B32" s="22"/>
      <c r="C32" s="22" t="s">
        <v>437</v>
      </c>
      <c r="D32" s="42"/>
      <c r="E32" s="42"/>
      <c r="F32" s="57" t="s">
        <v>438</v>
      </c>
      <c r="G32" s="58" t="s">
        <v>439</v>
      </c>
      <c r="H32" s="45">
        <f t="shared" si="9"/>
        <v>0</v>
      </c>
      <c r="I32" s="46" t="str">
        <f t="shared" si="10"/>
        <v/>
      </c>
      <c r="J32" s="47"/>
      <c r="K32" s="47"/>
      <c r="L32" s="47" t="str">
        <f>_xlfn.IFNA(INDEX('[3]3.5.1'!$1:$104,MATCH(L$4,'[3]3.5.1'!$A:$A,0),MATCH(Summary!$C32,'[3]3.5.1'!$1:$1,0)),"")</f>
        <v/>
      </c>
      <c r="M32" s="47"/>
      <c r="N32" s="47"/>
      <c r="O32" s="47">
        <f>_xlfn.IFNA(INDEX('[3]3.5.1'!$1:$104,MATCH(O$4,'[3]3.5.1'!$A:$A,0),MATCH(Summary!$C32,'[3]3.5.1'!$1:$1,0)),"")</f>
        <v>0</v>
      </c>
      <c r="P32" s="47"/>
      <c r="Q32" s="47"/>
      <c r="R32" s="47" t="str">
        <f>_xlfn.IFNA(INDEX('[3]3.5.1'!$1:$104,MATCH(R$4,'[3]3.5.1'!$A:$A,0),MATCH(Summary!$C32,'[3]3.5.1'!$1:$1,0)),"")</f>
        <v/>
      </c>
      <c r="S32" s="47"/>
      <c r="T32" s="47"/>
      <c r="U32" s="47" t="str">
        <f>_xlfn.IFNA(INDEX('[3]3.5.1'!$1:$104,MATCH(U$4,'[3]3.5.1'!$A:$A,0),MATCH(Summary!$C32,'[3]3.5.1'!$1:$1,0)),"")</f>
        <v/>
      </c>
      <c r="V32" s="47"/>
      <c r="W32" s="47"/>
      <c r="X32" s="47">
        <f>_xlfn.IFNA(INDEX('[3]3.5.1'!$1:$104,MATCH(X$4,'[3]3.5.1'!$A:$A,0),MATCH(Summary!$C32,'[3]3.5.1'!$1:$1,0)),"")</f>
        <v>0</v>
      </c>
      <c r="Y32" s="47"/>
      <c r="Z32" s="47"/>
      <c r="AA32" s="47" t="str">
        <f>_xlfn.IFNA(INDEX('[3]3.5.1'!$1:$104,MATCH(AA$4,'[3]3.5.1'!$A:$A,0),MATCH(Summary!$C32,'[3]3.5.1'!$1:$1,0)),"")</f>
        <v/>
      </c>
      <c r="AB32" s="47"/>
      <c r="AC32" s="47"/>
      <c r="AD32" s="47" t="str">
        <f>_xlfn.IFNA(INDEX('[3]3.5.1'!$1:$104,MATCH(AD$4,'[3]3.5.1'!$A:$A,0),MATCH(Summary!$C32,'[3]3.5.1'!$1:$1,0)),"")</f>
        <v/>
      </c>
      <c r="AE32" s="47"/>
      <c r="AF32" s="47"/>
      <c r="AG32" s="47">
        <f>_xlfn.IFNA(INDEX('[3]3.5.1'!$1:$104,MATCH(AG$4,'[3]3.5.1'!$A:$A,0),MATCH(Summary!$C32,'[3]3.5.1'!$1:$1,0)),"")</f>
        <v>0</v>
      </c>
      <c r="AH32" s="47"/>
      <c r="AI32" s="47"/>
      <c r="AJ32" s="47" t="str">
        <f>_xlfn.IFNA(INDEX('[3]3.5.1'!$1:$104,MATCH(AJ$4,'[3]3.5.1'!$A:$A,0),MATCH(Summary!$C32,'[3]3.5.1'!$1:$1,0)),"")</f>
        <v/>
      </c>
      <c r="AK32" s="47"/>
      <c r="AL32" s="47"/>
      <c r="AM32" s="47" t="str">
        <f>_xlfn.IFNA(INDEX('[3]3.5.1'!$1:$104,MATCH(AM$4,'[3]3.5.1'!$A:$A,0),MATCH(Summary!$C32,'[3]3.5.1'!$1:$1,0)),"")</f>
        <v/>
      </c>
      <c r="AN32" s="47"/>
      <c r="AO32" s="47"/>
      <c r="AP32" s="47">
        <f>_xlfn.IFNA(INDEX('[3]3.5.1'!$1:$104,MATCH(AP$4,'[3]3.5.1'!$A:$A,0),MATCH(Summary!$C32,'[3]3.5.1'!$1:$1,0)),"")</f>
        <v>0</v>
      </c>
      <c r="AQ32" s="47"/>
      <c r="AR32" s="47"/>
      <c r="AS32" s="47" t="str">
        <f>_xlfn.IFNA(INDEX('[3]3.5.1'!$1:$104,MATCH(AS$4,'[3]3.5.1'!$A:$A,0),MATCH(Summary!$C32,'[3]3.5.1'!$1:$1,0)),"")</f>
        <v/>
      </c>
      <c r="AT32" s="47"/>
      <c r="AU32" s="47"/>
      <c r="AV32" s="47" t="str">
        <f>_xlfn.IFNA(INDEX('[3]3.5.1'!$1:$104,MATCH(AV$4,'[3]3.5.1'!$A:$A,0),MATCH(Summary!$C32,'[3]3.5.1'!$1:$1,0)),"")</f>
        <v/>
      </c>
      <c r="AW32" s="47"/>
      <c r="AX32" s="47"/>
      <c r="AY32" s="47">
        <f>_xlfn.IFNA(INDEX('[3]3.5.1'!$1:$104,MATCH(AY$4,'[3]3.5.1'!$A:$A,0),MATCH(Summary!$C32,'[3]3.5.1'!$1:$1,0)),"")</f>
        <v>0</v>
      </c>
      <c r="AZ32" s="47"/>
      <c r="BA32" s="47"/>
      <c r="BB32" s="47">
        <f>_xlfn.IFNA(INDEX('[3]3.5.1'!$1:$104,MATCH(BB$4,'[3]3.5.1'!$A:$A,0),MATCH(Summary!$C32,'[3]3.5.1'!$1:$1,0)),"")</f>
        <v>0</v>
      </c>
      <c r="BC32" s="47"/>
      <c r="BD32" s="47"/>
      <c r="BE32" s="47" t="str">
        <f>_xlfn.IFNA(INDEX('[3]3.5.1'!$1:$104,MATCH(BE$4,'[3]3.5.1'!$A:$A,0),MATCH(Summary!$C32,'[3]3.5.1'!$1:$1,0)),"")</f>
        <v/>
      </c>
      <c r="BF32" s="47"/>
      <c r="BG32" s="47"/>
      <c r="BH32" s="47" t="str">
        <f>_xlfn.IFNA(INDEX('[3]3.5.1'!$1:$104,MATCH(BH$4,'[3]3.5.1'!$A:$A,0),MATCH(Summary!$C32,'[3]3.5.1'!$1:$1,0)),"")</f>
        <v/>
      </c>
      <c r="BI32" s="47"/>
      <c r="BJ32" s="47"/>
      <c r="BK32" s="47" t="str">
        <f>_xlfn.IFNA(INDEX('[3]3.5.1'!$1:$104,MATCH(BK$4,'[3]3.5.1'!$A:$A,0),MATCH(Summary!$C32,'[3]3.5.1'!$1:$1,0)),"")</f>
        <v/>
      </c>
    </row>
    <row r="33" s="1" customFormat="1" ht="16.5" hidden="1" customHeight="1" outlineLevel="2" spans="1:63">
      <c r="A33" s="22"/>
      <c r="B33" s="22"/>
      <c r="C33" s="22" t="s">
        <v>440</v>
      </c>
      <c r="D33" s="42"/>
      <c r="E33" s="42"/>
      <c r="F33" s="57" t="s">
        <v>441</v>
      </c>
      <c r="G33" s="58" t="s">
        <v>442</v>
      </c>
      <c r="H33" s="45">
        <f t="shared" si="9"/>
        <v>0</v>
      </c>
      <c r="I33" s="46" t="str">
        <f t="shared" si="10"/>
        <v/>
      </c>
      <c r="J33" s="47"/>
      <c r="K33" s="47"/>
      <c r="L33" s="47" t="str">
        <f>_xlfn.IFNA(INDEX('[3]3.5.1'!$1:$104,MATCH(L$4,'[3]3.5.1'!$A:$A,0),MATCH(Summary!$C33,'[3]3.5.1'!$1:$1,0)),"")</f>
        <v/>
      </c>
      <c r="M33" s="47"/>
      <c r="N33" s="47"/>
      <c r="O33" s="47">
        <f>_xlfn.IFNA(INDEX('[3]3.5.1'!$1:$104,MATCH(O$4,'[3]3.5.1'!$A:$A,0),MATCH(Summary!$C33,'[3]3.5.1'!$1:$1,0)),"")</f>
        <v>0</v>
      </c>
      <c r="P33" s="47"/>
      <c r="Q33" s="47"/>
      <c r="R33" s="47" t="str">
        <f>_xlfn.IFNA(INDEX('[3]3.5.1'!$1:$104,MATCH(R$4,'[3]3.5.1'!$A:$A,0),MATCH(Summary!$C33,'[3]3.5.1'!$1:$1,0)),"")</f>
        <v/>
      </c>
      <c r="S33" s="47"/>
      <c r="T33" s="47"/>
      <c r="U33" s="47" t="str">
        <f>_xlfn.IFNA(INDEX('[3]3.5.1'!$1:$104,MATCH(U$4,'[3]3.5.1'!$A:$A,0),MATCH(Summary!$C33,'[3]3.5.1'!$1:$1,0)),"")</f>
        <v/>
      </c>
      <c r="V33" s="47"/>
      <c r="W33" s="47"/>
      <c r="X33" s="47">
        <f>_xlfn.IFNA(INDEX('[3]3.5.1'!$1:$104,MATCH(X$4,'[3]3.5.1'!$A:$A,0),MATCH(Summary!$C33,'[3]3.5.1'!$1:$1,0)),"")</f>
        <v>0</v>
      </c>
      <c r="Y33" s="47"/>
      <c r="Z33" s="47"/>
      <c r="AA33" s="47" t="str">
        <f>_xlfn.IFNA(INDEX('[3]3.5.1'!$1:$104,MATCH(AA$4,'[3]3.5.1'!$A:$A,0),MATCH(Summary!$C33,'[3]3.5.1'!$1:$1,0)),"")</f>
        <v/>
      </c>
      <c r="AB33" s="47"/>
      <c r="AC33" s="47"/>
      <c r="AD33" s="47" t="str">
        <f>_xlfn.IFNA(INDEX('[3]3.5.1'!$1:$104,MATCH(AD$4,'[3]3.5.1'!$A:$A,0),MATCH(Summary!$C33,'[3]3.5.1'!$1:$1,0)),"")</f>
        <v/>
      </c>
      <c r="AE33" s="47"/>
      <c r="AF33" s="47"/>
      <c r="AG33" s="47">
        <f>_xlfn.IFNA(INDEX('[3]3.5.1'!$1:$104,MATCH(AG$4,'[3]3.5.1'!$A:$A,0),MATCH(Summary!$C33,'[3]3.5.1'!$1:$1,0)),"")</f>
        <v>0</v>
      </c>
      <c r="AH33" s="47"/>
      <c r="AI33" s="47"/>
      <c r="AJ33" s="47" t="str">
        <f>_xlfn.IFNA(INDEX('[3]3.5.1'!$1:$104,MATCH(AJ$4,'[3]3.5.1'!$A:$A,0),MATCH(Summary!$C33,'[3]3.5.1'!$1:$1,0)),"")</f>
        <v/>
      </c>
      <c r="AK33" s="47"/>
      <c r="AL33" s="47"/>
      <c r="AM33" s="47" t="str">
        <f>_xlfn.IFNA(INDEX('[3]3.5.1'!$1:$104,MATCH(AM$4,'[3]3.5.1'!$A:$A,0),MATCH(Summary!$C33,'[3]3.5.1'!$1:$1,0)),"")</f>
        <v/>
      </c>
      <c r="AN33" s="47"/>
      <c r="AO33" s="47"/>
      <c r="AP33" s="47">
        <f>_xlfn.IFNA(INDEX('[3]3.5.1'!$1:$104,MATCH(AP$4,'[3]3.5.1'!$A:$A,0),MATCH(Summary!$C33,'[3]3.5.1'!$1:$1,0)),"")</f>
        <v>0</v>
      </c>
      <c r="AQ33" s="47"/>
      <c r="AR33" s="47"/>
      <c r="AS33" s="47" t="str">
        <f>_xlfn.IFNA(INDEX('[3]3.5.1'!$1:$104,MATCH(AS$4,'[3]3.5.1'!$A:$A,0),MATCH(Summary!$C33,'[3]3.5.1'!$1:$1,0)),"")</f>
        <v/>
      </c>
      <c r="AT33" s="47"/>
      <c r="AU33" s="47"/>
      <c r="AV33" s="47" t="str">
        <f>_xlfn.IFNA(INDEX('[3]3.5.1'!$1:$104,MATCH(AV$4,'[3]3.5.1'!$A:$A,0),MATCH(Summary!$C33,'[3]3.5.1'!$1:$1,0)),"")</f>
        <v/>
      </c>
      <c r="AW33" s="47"/>
      <c r="AX33" s="47"/>
      <c r="AY33" s="47">
        <f>_xlfn.IFNA(INDEX('[3]3.5.1'!$1:$104,MATCH(AY$4,'[3]3.5.1'!$A:$A,0),MATCH(Summary!$C33,'[3]3.5.1'!$1:$1,0)),"")</f>
        <v>0</v>
      </c>
      <c r="AZ33" s="47"/>
      <c r="BA33" s="47"/>
      <c r="BB33" s="47">
        <f>_xlfn.IFNA(INDEX('[3]3.5.1'!$1:$104,MATCH(BB$4,'[3]3.5.1'!$A:$A,0),MATCH(Summary!$C33,'[3]3.5.1'!$1:$1,0)),"")</f>
        <v>0</v>
      </c>
      <c r="BC33" s="47"/>
      <c r="BD33" s="47"/>
      <c r="BE33" s="47" t="str">
        <f>_xlfn.IFNA(INDEX('[3]3.5.1'!$1:$104,MATCH(BE$4,'[3]3.5.1'!$A:$A,0),MATCH(Summary!$C33,'[3]3.5.1'!$1:$1,0)),"")</f>
        <v/>
      </c>
      <c r="BF33" s="47"/>
      <c r="BG33" s="47"/>
      <c r="BH33" s="47" t="str">
        <f>_xlfn.IFNA(INDEX('[3]3.5.1'!$1:$104,MATCH(BH$4,'[3]3.5.1'!$A:$A,0),MATCH(Summary!$C33,'[3]3.5.1'!$1:$1,0)),"")</f>
        <v/>
      </c>
      <c r="BI33" s="47"/>
      <c r="BJ33" s="47"/>
      <c r="BK33" s="47" t="str">
        <f>_xlfn.IFNA(INDEX('[3]3.5.1'!$1:$104,MATCH(BK$4,'[3]3.5.1'!$A:$A,0),MATCH(Summary!$C33,'[3]3.5.1'!$1:$1,0)),"")</f>
        <v/>
      </c>
    </row>
    <row r="34" s="1" customFormat="1" ht="16.5" hidden="1" customHeight="1" outlineLevel="2" spans="1:63">
      <c r="A34" s="22"/>
      <c r="B34" s="22"/>
      <c r="C34" s="22" t="s">
        <v>443</v>
      </c>
      <c r="D34" s="42"/>
      <c r="E34" s="42"/>
      <c r="F34" s="57" t="s">
        <v>444</v>
      </c>
      <c r="G34" s="58" t="s">
        <v>445</v>
      </c>
      <c r="H34" s="45">
        <f t="shared" si="9"/>
        <v>0</v>
      </c>
      <c r="I34" s="46" t="str">
        <f t="shared" si="10"/>
        <v/>
      </c>
      <c r="J34" s="47"/>
      <c r="K34" s="47"/>
      <c r="L34" s="47" t="str">
        <f>_xlfn.IFNA(INDEX('[3]3.5.1'!$1:$104,MATCH(L$4,'[3]3.5.1'!$A:$A,0),MATCH(Summary!$C34,'[3]3.5.1'!$1:$1,0)),"")</f>
        <v/>
      </c>
      <c r="M34" s="47"/>
      <c r="N34" s="47"/>
      <c r="O34" s="47">
        <f>_xlfn.IFNA(INDEX('[3]3.5.1'!$1:$104,MATCH(O$4,'[3]3.5.1'!$A:$A,0),MATCH(Summary!$C34,'[3]3.5.1'!$1:$1,0)),"")</f>
        <v>0</v>
      </c>
      <c r="P34" s="47"/>
      <c r="Q34" s="47"/>
      <c r="R34" s="47" t="str">
        <f>_xlfn.IFNA(INDEX('[3]3.5.1'!$1:$104,MATCH(R$4,'[3]3.5.1'!$A:$A,0),MATCH(Summary!$C34,'[3]3.5.1'!$1:$1,0)),"")</f>
        <v/>
      </c>
      <c r="S34" s="47"/>
      <c r="T34" s="47"/>
      <c r="U34" s="47" t="str">
        <f>_xlfn.IFNA(INDEX('[3]3.5.1'!$1:$104,MATCH(U$4,'[3]3.5.1'!$A:$A,0),MATCH(Summary!$C34,'[3]3.5.1'!$1:$1,0)),"")</f>
        <v/>
      </c>
      <c r="V34" s="47"/>
      <c r="W34" s="47"/>
      <c r="X34" s="47">
        <f>_xlfn.IFNA(INDEX('[3]3.5.1'!$1:$104,MATCH(X$4,'[3]3.5.1'!$A:$A,0),MATCH(Summary!$C34,'[3]3.5.1'!$1:$1,0)),"")</f>
        <v>0</v>
      </c>
      <c r="Y34" s="47"/>
      <c r="Z34" s="47"/>
      <c r="AA34" s="47" t="str">
        <f>_xlfn.IFNA(INDEX('[3]3.5.1'!$1:$104,MATCH(AA$4,'[3]3.5.1'!$A:$A,0),MATCH(Summary!$C34,'[3]3.5.1'!$1:$1,0)),"")</f>
        <v/>
      </c>
      <c r="AB34" s="47"/>
      <c r="AC34" s="47"/>
      <c r="AD34" s="47" t="str">
        <f>_xlfn.IFNA(INDEX('[3]3.5.1'!$1:$104,MATCH(AD$4,'[3]3.5.1'!$A:$A,0),MATCH(Summary!$C34,'[3]3.5.1'!$1:$1,0)),"")</f>
        <v/>
      </c>
      <c r="AE34" s="47"/>
      <c r="AF34" s="47"/>
      <c r="AG34" s="47">
        <f>_xlfn.IFNA(INDEX('[3]3.5.1'!$1:$104,MATCH(AG$4,'[3]3.5.1'!$A:$A,0),MATCH(Summary!$C34,'[3]3.5.1'!$1:$1,0)),"")</f>
        <v>0</v>
      </c>
      <c r="AH34" s="47"/>
      <c r="AI34" s="47"/>
      <c r="AJ34" s="47" t="str">
        <f>_xlfn.IFNA(INDEX('[3]3.5.1'!$1:$104,MATCH(AJ$4,'[3]3.5.1'!$A:$A,0),MATCH(Summary!$C34,'[3]3.5.1'!$1:$1,0)),"")</f>
        <v/>
      </c>
      <c r="AK34" s="47"/>
      <c r="AL34" s="47"/>
      <c r="AM34" s="47" t="str">
        <f>_xlfn.IFNA(INDEX('[3]3.5.1'!$1:$104,MATCH(AM$4,'[3]3.5.1'!$A:$A,0),MATCH(Summary!$C34,'[3]3.5.1'!$1:$1,0)),"")</f>
        <v/>
      </c>
      <c r="AN34" s="47"/>
      <c r="AO34" s="47"/>
      <c r="AP34" s="47">
        <f>_xlfn.IFNA(INDEX('[3]3.5.1'!$1:$104,MATCH(AP$4,'[3]3.5.1'!$A:$A,0),MATCH(Summary!$C34,'[3]3.5.1'!$1:$1,0)),"")</f>
        <v>0</v>
      </c>
      <c r="AQ34" s="47"/>
      <c r="AR34" s="47"/>
      <c r="AS34" s="47" t="str">
        <f>_xlfn.IFNA(INDEX('[3]3.5.1'!$1:$104,MATCH(AS$4,'[3]3.5.1'!$A:$A,0),MATCH(Summary!$C34,'[3]3.5.1'!$1:$1,0)),"")</f>
        <v/>
      </c>
      <c r="AT34" s="47"/>
      <c r="AU34" s="47"/>
      <c r="AV34" s="47" t="str">
        <f>_xlfn.IFNA(INDEX('[3]3.5.1'!$1:$104,MATCH(AV$4,'[3]3.5.1'!$A:$A,0),MATCH(Summary!$C34,'[3]3.5.1'!$1:$1,0)),"")</f>
        <v/>
      </c>
      <c r="AW34" s="47"/>
      <c r="AX34" s="47"/>
      <c r="AY34" s="47">
        <f>_xlfn.IFNA(INDEX('[3]3.5.1'!$1:$104,MATCH(AY$4,'[3]3.5.1'!$A:$A,0),MATCH(Summary!$C34,'[3]3.5.1'!$1:$1,0)),"")</f>
        <v>0</v>
      </c>
      <c r="AZ34" s="47"/>
      <c r="BA34" s="47"/>
      <c r="BB34" s="47">
        <f>_xlfn.IFNA(INDEX('[3]3.5.1'!$1:$104,MATCH(BB$4,'[3]3.5.1'!$A:$A,0),MATCH(Summary!$C34,'[3]3.5.1'!$1:$1,0)),"")</f>
        <v>0</v>
      </c>
      <c r="BC34" s="47"/>
      <c r="BD34" s="47"/>
      <c r="BE34" s="47" t="str">
        <f>_xlfn.IFNA(INDEX('[3]3.5.1'!$1:$104,MATCH(BE$4,'[3]3.5.1'!$A:$A,0),MATCH(Summary!$C34,'[3]3.5.1'!$1:$1,0)),"")</f>
        <v/>
      </c>
      <c r="BF34" s="47"/>
      <c r="BG34" s="47"/>
      <c r="BH34" s="47" t="str">
        <f>_xlfn.IFNA(INDEX('[3]3.5.1'!$1:$104,MATCH(BH$4,'[3]3.5.1'!$A:$A,0),MATCH(Summary!$C34,'[3]3.5.1'!$1:$1,0)),"")</f>
        <v/>
      </c>
      <c r="BI34" s="47"/>
      <c r="BJ34" s="47"/>
      <c r="BK34" s="47" t="str">
        <f>_xlfn.IFNA(INDEX('[3]3.5.1'!$1:$104,MATCH(BK$4,'[3]3.5.1'!$A:$A,0),MATCH(Summary!$C34,'[3]3.5.1'!$1:$1,0)),"")</f>
        <v/>
      </c>
    </row>
    <row r="35" s="1" customFormat="1" ht="16.5" customHeight="1" outlineLevel="1" collapsed="1" spans="1:63">
      <c r="A35" s="22"/>
      <c r="B35" s="22"/>
      <c r="C35" s="22" t="s">
        <v>446</v>
      </c>
      <c r="D35" s="59"/>
      <c r="E35" s="59"/>
      <c r="F35" s="59" t="s">
        <v>121</v>
      </c>
      <c r="G35" s="59" t="s">
        <v>447</v>
      </c>
      <c r="H35" s="60">
        <f t="shared" si="9"/>
        <v>0.0307048433580556</v>
      </c>
      <c r="I35" s="61" t="str">
        <f t="shared" si="10"/>
        <v/>
      </c>
      <c r="J35" s="62"/>
      <c r="K35" s="62"/>
      <c r="L35" s="62" t="str">
        <f>_xlfn.IFNA(INDEX('[3]3.5.1'!$1:$104,MATCH(L$4,'[3]3.5.1'!$A:$A,0),MATCH(Summary!$C35,'[3]3.5.1'!$1:$1,0)),"")</f>
        <v/>
      </c>
      <c r="M35" s="62"/>
      <c r="N35" s="62"/>
      <c r="O35" s="62">
        <f>_xlfn.IFNA(INDEX('[3]3.5.1'!$1:$104,MATCH(O$4,'[3]3.5.1'!$A:$A,0),MATCH(Summary!$C35,'[3]3.5.1'!$1:$1,0)),"")</f>
        <v>331240.648</v>
      </c>
      <c r="P35" s="62"/>
      <c r="Q35" s="62"/>
      <c r="R35" s="62" t="str">
        <f>_xlfn.IFNA(INDEX('[3]3.5.1'!$1:$104,MATCH(R$4,'[3]3.5.1'!$A:$A,0),MATCH(Summary!$C35,'[3]3.5.1'!$1:$1,0)),"")</f>
        <v/>
      </c>
      <c r="S35" s="62"/>
      <c r="T35" s="62"/>
      <c r="U35" s="62" t="str">
        <f>_xlfn.IFNA(INDEX('[3]3.5.1'!$1:$104,MATCH(U$4,'[3]3.5.1'!$A:$A,0),MATCH(Summary!$C35,'[3]3.5.1'!$1:$1,0)),"")</f>
        <v/>
      </c>
      <c r="V35" s="62"/>
      <c r="W35" s="62"/>
      <c r="X35" s="62">
        <f>_xlfn.IFNA(INDEX('[3]3.5.1'!$1:$104,MATCH(X$4,'[3]3.5.1'!$A:$A,0),MATCH(Summary!$C35,'[3]3.5.1'!$1:$1,0)),"")</f>
        <v>302874.135</v>
      </c>
      <c r="Y35" s="62"/>
      <c r="Z35" s="62"/>
      <c r="AA35" s="62" t="str">
        <f>_xlfn.IFNA(INDEX('[3]3.5.1'!$1:$104,MATCH(AA$4,'[3]3.5.1'!$A:$A,0),MATCH(Summary!$C35,'[3]3.5.1'!$1:$1,0)),"")</f>
        <v/>
      </c>
      <c r="AB35" s="62"/>
      <c r="AC35" s="62"/>
      <c r="AD35" s="62" t="str">
        <f>_xlfn.IFNA(INDEX('[3]3.5.1'!$1:$104,MATCH(AD$4,'[3]3.5.1'!$A:$A,0),MATCH(Summary!$C35,'[3]3.5.1'!$1:$1,0)),"")</f>
        <v/>
      </c>
      <c r="AE35" s="62"/>
      <c r="AF35" s="62"/>
      <c r="AG35" s="62">
        <f>_xlfn.IFNA(INDEX('[3]3.5.1'!$1:$104,MATCH(AG$4,'[3]3.5.1'!$A:$A,0),MATCH(Summary!$C35,'[3]3.5.1'!$1:$1,0)),"")</f>
        <v>285580.505</v>
      </c>
      <c r="AH35" s="62"/>
      <c r="AI35" s="62"/>
      <c r="AJ35" s="62" t="str">
        <f>_xlfn.IFNA(INDEX('[3]3.5.1'!$1:$104,MATCH(AJ$4,'[3]3.5.1'!$A:$A,0),MATCH(Summary!$C35,'[3]3.5.1'!$1:$1,0)),"")</f>
        <v/>
      </c>
      <c r="AK35" s="62"/>
      <c r="AL35" s="62"/>
      <c r="AM35" s="62" t="str">
        <f>_xlfn.IFNA(INDEX('[3]3.5.1'!$1:$104,MATCH(AM$4,'[3]3.5.1'!$A:$A,0),MATCH(Summary!$C35,'[3]3.5.1'!$1:$1,0)),"")</f>
        <v/>
      </c>
      <c r="AN35" s="62"/>
      <c r="AO35" s="62"/>
      <c r="AP35" s="62">
        <f>_xlfn.IFNA(INDEX('[3]3.5.1'!$1:$104,MATCH(AP$4,'[3]3.5.1'!$A:$A,0),MATCH(Summary!$C35,'[3]3.5.1'!$1:$1,0)),"")</f>
        <v>282034.28</v>
      </c>
      <c r="AQ35" s="62"/>
      <c r="AR35" s="62"/>
      <c r="AS35" s="62" t="str">
        <f>_xlfn.IFNA(INDEX('[3]3.5.1'!$1:$104,MATCH(AS$4,'[3]3.5.1'!$A:$A,0),MATCH(Summary!$C35,'[3]3.5.1'!$1:$1,0)),"")</f>
        <v/>
      </c>
      <c r="AT35" s="62"/>
      <c r="AU35" s="62"/>
      <c r="AV35" s="62" t="str">
        <f>_xlfn.IFNA(INDEX('[3]3.5.1'!$1:$104,MATCH(AV$4,'[3]3.5.1'!$A:$A,0),MATCH(Summary!$C35,'[3]3.5.1'!$1:$1,0)),"")</f>
        <v/>
      </c>
      <c r="AW35" s="62"/>
      <c r="AX35" s="62"/>
      <c r="AY35" s="62">
        <f>_xlfn.IFNA(INDEX('[3]3.5.1'!$1:$104,MATCH(AY$4,'[3]3.5.1'!$A:$A,0),MATCH(Summary!$C35,'[3]3.5.1'!$1:$1,0)),"")</f>
        <v>283977.699</v>
      </c>
      <c r="AZ35" s="62"/>
      <c r="BA35" s="62"/>
      <c r="BB35" s="62">
        <f>_xlfn.IFNA(INDEX('[3]3.5.1'!$1:$104,MATCH(BB$4,'[3]3.5.1'!$A:$A,0),MATCH(Summary!$C35,'[3]3.5.1'!$1:$1,0)),"")</f>
        <v>293659.304</v>
      </c>
      <c r="BC35" s="62"/>
      <c r="BD35" s="62"/>
      <c r="BE35" s="62" t="str">
        <f>_xlfn.IFNA(INDEX('[3]3.5.1'!$1:$104,MATCH(BE$4,'[3]3.5.1'!$A:$A,0),MATCH(Summary!$C35,'[3]3.5.1'!$1:$1,0)),"")</f>
        <v/>
      </c>
      <c r="BF35" s="62"/>
      <c r="BG35" s="62"/>
      <c r="BH35" s="62" t="str">
        <f>_xlfn.IFNA(INDEX('[3]3.5.1'!$1:$104,MATCH(BH$4,'[3]3.5.1'!$A:$A,0),MATCH(Summary!$C35,'[3]3.5.1'!$1:$1,0)),"")</f>
        <v/>
      </c>
      <c r="BI35" s="62"/>
      <c r="BJ35" s="62"/>
      <c r="BK35" s="62" t="str">
        <f>_xlfn.IFNA(INDEX('[3]3.5.1'!$1:$104,MATCH(BK$4,'[3]3.5.1'!$A:$A,0),MATCH(Summary!$C35,'[3]3.5.1'!$1:$1,0)),"")</f>
        <v/>
      </c>
    </row>
    <row r="36" s="1" customFormat="1" ht="16.5" hidden="1" customHeight="1" outlineLevel="2" spans="1:63">
      <c r="A36" s="22"/>
      <c r="B36" s="22"/>
      <c r="C36" s="22" t="s">
        <v>448</v>
      </c>
      <c r="D36" s="42"/>
      <c r="E36" s="42"/>
      <c r="F36" s="57" t="s">
        <v>449</v>
      </c>
      <c r="G36" s="58" t="s">
        <v>450</v>
      </c>
      <c r="H36" s="45">
        <f t="shared" si="9"/>
        <v>0.00973556593462182</v>
      </c>
      <c r="I36" s="46" t="str">
        <f t="shared" si="10"/>
        <v/>
      </c>
      <c r="J36" s="47"/>
      <c r="K36" s="47"/>
      <c r="L36" s="47" t="str">
        <f>_xlfn.IFNA(INDEX('[3]3.5.1'!$1:$104,MATCH(L$4,'[3]3.5.1'!$A:$A,0),MATCH(Summary!$C36,'[3]3.5.1'!$1:$1,0)),"")</f>
        <v/>
      </c>
      <c r="M36" s="47"/>
      <c r="N36" s="47"/>
      <c r="O36" s="47">
        <f>_xlfn.IFNA(INDEX('[3]3.5.1'!$1:$104,MATCH(O$4,'[3]3.5.1'!$A:$A,0),MATCH(Summary!$C36,'[3]3.5.1'!$1:$1,0)),"")</f>
        <v>105026.27</v>
      </c>
      <c r="P36" s="47"/>
      <c r="Q36" s="47"/>
      <c r="R36" s="47" t="str">
        <f>_xlfn.IFNA(INDEX('[3]3.5.1'!$1:$104,MATCH(R$4,'[3]3.5.1'!$A:$A,0),MATCH(Summary!$C36,'[3]3.5.1'!$1:$1,0)),"")</f>
        <v/>
      </c>
      <c r="S36" s="47"/>
      <c r="T36" s="47"/>
      <c r="U36" s="47" t="str">
        <f>_xlfn.IFNA(INDEX('[3]3.5.1'!$1:$104,MATCH(U$4,'[3]3.5.1'!$A:$A,0),MATCH(Summary!$C36,'[3]3.5.1'!$1:$1,0)),"")</f>
        <v/>
      </c>
      <c r="V36" s="47"/>
      <c r="W36" s="47"/>
      <c r="X36" s="47">
        <f>_xlfn.IFNA(INDEX('[3]3.5.1'!$1:$104,MATCH(X$4,'[3]3.5.1'!$A:$A,0),MATCH(Summary!$C36,'[3]3.5.1'!$1:$1,0)),"")</f>
        <v>110085.687</v>
      </c>
      <c r="Y36" s="47"/>
      <c r="Z36" s="47"/>
      <c r="AA36" s="47" t="str">
        <f>_xlfn.IFNA(INDEX('[3]3.5.1'!$1:$104,MATCH(AA$4,'[3]3.5.1'!$A:$A,0),MATCH(Summary!$C36,'[3]3.5.1'!$1:$1,0)),"")</f>
        <v/>
      </c>
      <c r="AB36" s="47"/>
      <c r="AC36" s="47"/>
      <c r="AD36" s="47" t="str">
        <f>_xlfn.IFNA(INDEX('[3]3.5.1'!$1:$104,MATCH(AD$4,'[3]3.5.1'!$A:$A,0),MATCH(Summary!$C36,'[3]3.5.1'!$1:$1,0)),"")</f>
        <v/>
      </c>
      <c r="AE36" s="47"/>
      <c r="AF36" s="47"/>
      <c r="AG36" s="47">
        <f>_xlfn.IFNA(INDEX('[3]3.5.1'!$1:$104,MATCH(AG$4,'[3]3.5.1'!$A:$A,0),MATCH(Summary!$C36,'[3]3.5.1'!$1:$1,0)),"")</f>
        <v>100947.032</v>
      </c>
      <c r="AH36" s="47"/>
      <c r="AI36" s="47"/>
      <c r="AJ36" s="47" t="str">
        <f>_xlfn.IFNA(INDEX('[3]3.5.1'!$1:$104,MATCH(AJ$4,'[3]3.5.1'!$A:$A,0),MATCH(Summary!$C36,'[3]3.5.1'!$1:$1,0)),"")</f>
        <v/>
      </c>
      <c r="AK36" s="47"/>
      <c r="AL36" s="47"/>
      <c r="AM36" s="47" t="str">
        <f>_xlfn.IFNA(INDEX('[3]3.5.1'!$1:$104,MATCH(AM$4,'[3]3.5.1'!$A:$A,0),MATCH(Summary!$C36,'[3]3.5.1'!$1:$1,0)),"")</f>
        <v/>
      </c>
      <c r="AN36" s="47"/>
      <c r="AO36" s="47"/>
      <c r="AP36" s="47">
        <f>_xlfn.IFNA(INDEX('[3]3.5.1'!$1:$104,MATCH(AP$4,'[3]3.5.1'!$A:$A,0),MATCH(Summary!$C36,'[3]3.5.1'!$1:$1,0)),"")</f>
        <v>101675.291</v>
      </c>
      <c r="AQ36" s="47"/>
      <c r="AR36" s="47"/>
      <c r="AS36" s="47" t="str">
        <f>_xlfn.IFNA(INDEX('[3]3.5.1'!$1:$104,MATCH(AS$4,'[3]3.5.1'!$A:$A,0),MATCH(Summary!$C36,'[3]3.5.1'!$1:$1,0)),"")</f>
        <v/>
      </c>
      <c r="AT36" s="47"/>
      <c r="AU36" s="47"/>
      <c r="AV36" s="47" t="str">
        <f>_xlfn.IFNA(INDEX('[3]3.5.1'!$1:$104,MATCH(AV$4,'[3]3.5.1'!$A:$A,0),MATCH(Summary!$C36,'[3]3.5.1'!$1:$1,0)),"")</f>
        <v/>
      </c>
      <c r="AW36" s="47"/>
      <c r="AX36" s="47"/>
      <c r="AY36" s="47">
        <f>_xlfn.IFNA(INDEX('[3]3.5.1'!$1:$104,MATCH(AY$4,'[3]3.5.1'!$A:$A,0),MATCH(Summary!$C36,'[3]3.5.1'!$1:$1,0)),"")</f>
        <v>91728.232</v>
      </c>
      <c r="AZ36" s="47"/>
      <c r="BA36" s="47"/>
      <c r="BB36" s="47">
        <f>_xlfn.IFNA(INDEX('[3]3.5.1'!$1:$104,MATCH(BB$4,'[3]3.5.1'!$A:$A,0),MATCH(Summary!$C36,'[3]3.5.1'!$1:$1,0)),"")</f>
        <v>83948.318</v>
      </c>
      <c r="BC36" s="47"/>
      <c r="BD36" s="47"/>
      <c r="BE36" s="47" t="str">
        <f>_xlfn.IFNA(INDEX('[3]3.5.1'!$1:$104,MATCH(BE$4,'[3]3.5.1'!$A:$A,0),MATCH(Summary!$C36,'[3]3.5.1'!$1:$1,0)),"")</f>
        <v/>
      </c>
      <c r="BF36" s="47"/>
      <c r="BG36" s="47"/>
      <c r="BH36" s="47" t="str">
        <f>_xlfn.IFNA(INDEX('[3]3.5.1'!$1:$104,MATCH(BH$4,'[3]3.5.1'!$A:$A,0),MATCH(Summary!$C36,'[3]3.5.1'!$1:$1,0)),"")</f>
        <v/>
      </c>
      <c r="BI36" s="47"/>
      <c r="BJ36" s="47"/>
      <c r="BK36" s="47" t="str">
        <f>_xlfn.IFNA(INDEX('[3]3.5.1'!$1:$104,MATCH(BK$4,'[3]3.5.1'!$A:$A,0),MATCH(Summary!$C36,'[3]3.5.1'!$1:$1,0)),"")</f>
        <v/>
      </c>
    </row>
    <row r="37" s="1" customFormat="1" ht="16.5" hidden="1" customHeight="1" outlineLevel="2" spans="1:63">
      <c r="A37" s="22"/>
      <c r="B37" s="22"/>
      <c r="C37" s="22" t="s">
        <v>451</v>
      </c>
      <c r="D37" s="42"/>
      <c r="E37" s="42"/>
      <c r="F37" s="57" t="s">
        <v>452</v>
      </c>
      <c r="G37" s="58" t="s">
        <v>453</v>
      </c>
      <c r="H37" s="45">
        <f t="shared" si="9"/>
        <v>0.00421308197755777</v>
      </c>
      <c r="I37" s="46" t="str">
        <f t="shared" si="10"/>
        <v/>
      </c>
      <c r="J37" s="47"/>
      <c r="K37" s="47"/>
      <c r="L37" s="47" t="str">
        <f>_xlfn.IFNA(INDEX('[3]3.5.1'!$1:$104,MATCH(L$4,'[3]3.5.1'!$A:$A,0),MATCH(Summary!$C37,'[3]3.5.1'!$1:$1,0)),"")</f>
        <v/>
      </c>
      <c r="M37" s="47"/>
      <c r="N37" s="47"/>
      <c r="O37" s="47">
        <f>_xlfn.IFNA(INDEX('[3]3.5.1'!$1:$104,MATCH(O$4,'[3]3.5.1'!$A:$A,0),MATCH(Summary!$C37,'[3]3.5.1'!$1:$1,0)),"")</f>
        <v>45450.289</v>
      </c>
      <c r="P37" s="47"/>
      <c r="Q37" s="47"/>
      <c r="R37" s="47" t="str">
        <f>_xlfn.IFNA(INDEX('[3]3.5.1'!$1:$104,MATCH(R$4,'[3]3.5.1'!$A:$A,0),MATCH(Summary!$C37,'[3]3.5.1'!$1:$1,0)),"")</f>
        <v/>
      </c>
      <c r="S37" s="47"/>
      <c r="T37" s="47"/>
      <c r="U37" s="47" t="str">
        <f>_xlfn.IFNA(INDEX('[3]3.5.1'!$1:$104,MATCH(U$4,'[3]3.5.1'!$A:$A,0),MATCH(Summary!$C37,'[3]3.5.1'!$1:$1,0)),"")</f>
        <v/>
      </c>
      <c r="V37" s="47"/>
      <c r="W37" s="47"/>
      <c r="X37" s="47">
        <f>_xlfn.IFNA(INDEX('[3]3.5.1'!$1:$104,MATCH(X$4,'[3]3.5.1'!$A:$A,0),MATCH(Summary!$C37,'[3]3.5.1'!$1:$1,0)),"")</f>
        <v>42722.098</v>
      </c>
      <c r="Y37" s="47"/>
      <c r="Z37" s="47"/>
      <c r="AA37" s="47" t="str">
        <f>_xlfn.IFNA(INDEX('[3]3.5.1'!$1:$104,MATCH(AA$4,'[3]3.5.1'!$A:$A,0),MATCH(Summary!$C37,'[3]3.5.1'!$1:$1,0)),"")</f>
        <v/>
      </c>
      <c r="AB37" s="47"/>
      <c r="AC37" s="47"/>
      <c r="AD37" s="47" t="str">
        <f>_xlfn.IFNA(INDEX('[3]3.5.1'!$1:$104,MATCH(AD$4,'[3]3.5.1'!$A:$A,0),MATCH(Summary!$C37,'[3]3.5.1'!$1:$1,0)),"")</f>
        <v/>
      </c>
      <c r="AE37" s="47"/>
      <c r="AF37" s="47"/>
      <c r="AG37" s="47">
        <f>_xlfn.IFNA(INDEX('[3]3.5.1'!$1:$104,MATCH(AG$4,'[3]3.5.1'!$A:$A,0),MATCH(Summary!$C37,'[3]3.5.1'!$1:$1,0)),"")</f>
        <v>34495.647</v>
      </c>
      <c r="AH37" s="47"/>
      <c r="AI37" s="47"/>
      <c r="AJ37" s="47" t="str">
        <f>_xlfn.IFNA(INDEX('[3]3.5.1'!$1:$104,MATCH(AJ$4,'[3]3.5.1'!$A:$A,0),MATCH(Summary!$C37,'[3]3.5.1'!$1:$1,0)),"")</f>
        <v/>
      </c>
      <c r="AK37" s="47"/>
      <c r="AL37" s="47"/>
      <c r="AM37" s="47" t="str">
        <f>_xlfn.IFNA(INDEX('[3]3.5.1'!$1:$104,MATCH(AM$4,'[3]3.5.1'!$A:$A,0),MATCH(Summary!$C37,'[3]3.5.1'!$1:$1,0)),"")</f>
        <v/>
      </c>
      <c r="AN37" s="47"/>
      <c r="AO37" s="47"/>
      <c r="AP37" s="47">
        <f>_xlfn.IFNA(INDEX('[3]3.5.1'!$1:$104,MATCH(AP$4,'[3]3.5.1'!$A:$A,0),MATCH(Summary!$C37,'[3]3.5.1'!$1:$1,0)),"")</f>
        <v>30209.397</v>
      </c>
      <c r="AQ37" s="47"/>
      <c r="AR37" s="47"/>
      <c r="AS37" s="47" t="str">
        <f>_xlfn.IFNA(INDEX('[3]3.5.1'!$1:$104,MATCH(AS$4,'[3]3.5.1'!$A:$A,0),MATCH(Summary!$C37,'[3]3.5.1'!$1:$1,0)),"")</f>
        <v/>
      </c>
      <c r="AT37" s="47"/>
      <c r="AU37" s="47"/>
      <c r="AV37" s="47" t="str">
        <f>_xlfn.IFNA(INDEX('[3]3.5.1'!$1:$104,MATCH(AV$4,'[3]3.5.1'!$A:$A,0),MATCH(Summary!$C37,'[3]3.5.1'!$1:$1,0)),"")</f>
        <v/>
      </c>
      <c r="AW37" s="47"/>
      <c r="AX37" s="47"/>
      <c r="AY37" s="47">
        <f>_xlfn.IFNA(INDEX('[3]3.5.1'!$1:$104,MATCH(AY$4,'[3]3.5.1'!$A:$A,0),MATCH(Summary!$C37,'[3]3.5.1'!$1:$1,0)),"")</f>
        <v>37844.359</v>
      </c>
      <c r="AZ37" s="47"/>
      <c r="BA37" s="47"/>
      <c r="BB37" s="47">
        <f>_xlfn.IFNA(INDEX('[3]3.5.1'!$1:$104,MATCH(BB$4,'[3]3.5.1'!$A:$A,0),MATCH(Summary!$C37,'[3]3.5.1'!$1:$1,0)),"")</f>
        <v>55624.595</v>
      </c>
      <c r="BC37" s="47"/>
      <c r="BD37" s="47"/>
      <c r="BE37" s="47" t="str">
        <f>_xlfn.IFNA(INDEX('[3]3.5.1'!$1:$104,MATCH(BE$4,'[3]3.5.1'!$A:$A,0),MATCH(Summary!$C37,'[3]3.5.1'!$1:$1,0)),"")</f>
        <v/>
      </c>
      <c r="BF37" s="47"/>
      <c r="BG37" s="47"/>
      <c r="BH37" s="47" t="str">
        <f>_xlfn.IFNA(INDEX('[3]3.5.1'!$1:$104,MATCH(BH$4,'[3]3.5.1'!$A:$A,0),MATCH(Summary!$C37,'[3]3.5.1'!$1:$1,0)),"")</f>
        <v/>
      </c>
      <c r="BI37" s="47"/>
      <c r="BJ37" s="47"/>
      <c r="BK37" s="47" t="str">
        <f>_xlfn.IFNA(INDEX('[3]3.5.1'!$1:$104,MATCH(BK$4,'[3]3.5.1'!$A:$A,0),MATCH(Summary!$C37,'[3]3.5.1'!$1:$1,0)),"")</f>
        <v/>
      </c>
    </row>
    <row r="38" s="1" customFormat="1" ht="16.5" hidden="1" customHeight="1" outlineLevel="2" spans="1:63">
      <c r="A38" s="22"/>
      <c r="B38" s="22"/>
      <c r="C38" s="22" t="s">
        <v>454</v>
      </c>
      <c r="D38" s="42"/>
      <c r="E38" s="42"/>
      <c r="F38" s="57" t="s">
        <v>455</v>
      </c>
      <c r="G38" s="58" t="s">
        <v>456</v>
      </c>
      <c r="H38" s="45">
        <f t="shared" si="9"/>
        <v>0.00475216440431233</v>
      </c>
      <c r="I38" s="46" t="str">
        <f t="shared" si="10"/>
        <v/>
      </c>
      <c r="J38" s="47"/>
      <c r="K38" s="47"/>
      <c r="L38" s="47" t="str">
        <f>_xlfn.IFNA(INDEX('[3]3.5.1'!$1:$104,MATCH(L$4,'[3]3.5.1'!$A:$A,0),MATCH(Summary!$C38,'[3]3.5.1'!$1:$1,0)),"")</f>
        <v/>
      </c>
      <c r="M38" s="47"/>
      <c r="N38" s="47"/>
      <c r="O38" s="47">
        <f>_xlfn.IFNA(INDEX('[3]3.5.1'!$1:$104,MATCH(O$4,'[3]3.5.1'!$A:$A,0),MATCH(Summary!$C38,'[3]3.5.1'!$1:$1,0)),"")</f>
        <v>51265.854</v>
      </c>
      <c r="P38" s="47"/>
      <c r="Q38" s="47"/>
      <c r="R38" s="47" t="str">
        <f>_xlfn.IFNA(INDEX('[3]3.5.1'!$1:$104,MATCH(R$4,'[3]3.5.1'!$A:$A,0),MATCH(Summary!$C38,'[3]3.5.1'!$1:$1,0)),"")</f>
        <v/>
      </c>
      <c r="S38" s="47"/>
      <c r="T38" s="47"/>
      <c r="U38" s="47" t="str">
        <f>_xlfn.IFNA(INDEX('[3]3.5.1'!$1:$104,MATCH(U$4,'[3]3.5.1'!$A:$A,0),MATCH(Summary!$C38,'[3]3.5.1'!$1:$1,0)),"")</f>
        <v/>
      </c>
      <c r="V38" s="47"/>
      <c r="W38" s="47"/>
      <c r="X38" s="47">
        <f>_xlfn.IFNA(INDEX('[3]3.5.1'!$1:$104,MATCH(X$4,'[3]3.5.1'!$A:$A,0),MATCH(Summary!$C38,'[3]3.5.1'!$1:$1,0)),"")</f>
        <v>51264.121</v>
      </c>
      <c r="Y38" s="47"/>
      <c r="Z38" s="47"/>
      <c r="AA38" s="47" t="str">
        <f>_xlfn.IFNA(INDEX('[3]3.5.1'!$1:$104,MATCH(AA$4,'[3]3.5.1'!$A:$A,0),MATCH(Summary!$C38,'[3]3.5.1'!$1:$1,0)),"")</f>
        <v/>
      </c>
      <c r="AB38" s="47"/>
      <c r="AC38" s="47"/>
      <c r="AD38" s="47" t="str">
        <f>_xlfn.IFNA(INDEX('[3]3.5.1'!$1:$104,MATCH(AD$4,'[3]3.5.1'!$A:$A,0),MATCH(Summary!$C38,'[3]3.5.1'!$1:$1,0)),"")</f>
        <v/>
      </c>
      <c r="AE38" s="47"/>
      <c r="AF38" s="47"/>
      <c r="AG38" s="47">
        <f>_xlfn.IFNA(INDEX('[3]3.5.1'!$1:$104,MATCH(AG$4,'[3]3.5.1'!$A:$A,0),MATCH(Summary!$C38,'[3]3.5.1'!$1:$1,0)),"")</f>
        <v>52015.664</v>
      </c>
      <c r="AH38" s="47"/>
      <c r="AI38" s="47"/>
      <c r="AJ38" s="47" t="str">
        <f>_xlfn.IFNA(INDEX('[3]3.5.1'!$1:$104,MATCH(AJ$4,'[3]3.5.1'!$A:$A,0),MATCH(Summary!$C38,'[3]3.5.1'!$1:$1,0)),"")</f>
        <v/>
      </c>
      <c r="AK38" s="47"/>
      <c r="AL38" s="47"/>
      <c r="AM38" s="47" t="str">
        <f>_xlfn.IFNA(INDEX('[3]3.5.1'!$1:$104,MATCH(AM$4,'[3]3.5.1'!$A:$A,0),MATCH(Summary!$C38,'[3]3.5.1'!$1:$1,0)),"")</f>
        <v/>
      </c>
      <c r="AN38" s="47"/>
      <c r="AO38" s="47"/>
      <c r="AP38" s="47">
        <f>_xlfn.IFNA(INDEX('[3]3.5.1'!$1:$104,MATCH(AP$4,'[3]3.5.1'!$A:$A,0),MATCH(Summary!$C38,'[3]3.5.1'!$1:$1,0)),"")</f>
        <v>52786.394</v>
      </c>
      <c r="AQ38" s="47"/>
      <c r="AR38" s="47"/>
      <c r="AS38" s="47" t="str">
        <f>_xlfn.IFNA(INDEX('[3]3.5.1'!$1:$104,MATCH(AS$4,'[3]3.5.1'!$A:$A,0),MATCH(Summary!$C38,'[3]3.5.1'!$1:$1,0)),"")</f>
        <v/>
      </c>
      <c r="AT38" s="47"/>
      <c r="AU38" s="47"/>
      <c r="AV38" s="47" t="str">
        <f>_xlfn.IFNA(INDEX('[3]3.5.1'!$1:$104,MATCH(AV$4,'[3]3.5.1'!$A:$A,0),MATCH(Summary!$C38,'[3]3.5.1'!$1:$1,0)),"")</f>
        <v/>
      </c>
      <c r="AW38" s="47"/>
      <c r="AX38" s="47"/>
      <c r="AY38" s="47">
        <f>_xlfn.IFNA(INDEX('[3]3.5.1'!$1:$104,MATCH(AY$4,'[3]3.5.1'!$A:$A,0),MATCH(Summary!$C38,'[3]3.5.1'!$1:$1,0)),"")</f>
        <v>53651.024</v>
      </c>
      <c r="AZ38" s="47"/>
      <c r="BA38" s="47"/>
      <c r="BB38" s="47">
        <f>_xlfn.IFNA(INDEX('[3]3.5.1'!$1:$104,MATCH(BB$4,'[3]3.5.1'!$A:$A,0),MATCH(Summary!$C38,'[3]3.5.1'!$1:$1,0)),"")</f>
        <v>55063.993</v>
      </c>
      <c r="BC38" s="47"/>
      <c r="BD38" s="47"/>
      <c r="BE38" s="47" t="str">
        <f>_xlfn.IFNA(INDEX('[3]3.5.1'!$1:$104,MATCH(BE$4,'[3]3.5.1'!$A:$A,0),MATCH(Summary!$C38,'[3]3.5.1'!$1:$1,0)),"")</f>
        <v/>
      </c>
      <c r="BF38" s="47"/>
      <c r="BG38" s="47"/>
      <c r="BH38" s="47" t="str">
        <f>_xlfn.IFNA(INDEX('[3]3.5.1'!$1:$104,MATCH(BH$4,'[3]3.5.1'!$A:$A,0),MATCH(Summary!$C38,'[3]3.5.1'!$1:$1,0)),"")</f>
        <v/>
      </c>
      <c r="BI38" s="47"/>
      <c r="BJ38" s="47"/>
      <c r="BK38" s="47" t="str">
        <f>_xlfn.IFNA(INDEX('[3]3.5.1'!$1:$104,MATCH(BK$4,'[3]3.5.1'!$A:$A,0),MATCH(Summary!$C38,'[3]3.5.1'!$1:$1,0)),"")</f>
        <v/>
      </c>
    </row>
    <row r="39" s="1" customFormat="1" ht="16.5" hidden="1" customHeight="1" outlineLevel="2" spans="1:63">
      <c r="A39" s="22"/>
      <c r="B39" s="22"/>
      <c r="C39" s="22" t="s">
        <v>457</v>
      </c>
      <c r="D39" s="42"/>
      <c r="E39" s="42"/>
      <c r="F39" s="42" t="s">
        <v>458</v>
      </c>
      <c r="G39" s="44" t="s">
        <v>459</v>
      </c>
      <c r="H39" s="45">
        <f t="shared" si="9"/>
        <v>0.00401884456036907</v>
      </c>
      <c r="I39" s="46" t="str">
        <f t="shared" si="10"/>
        <v/>
      </c>
      <c r="J39" s="47"/>
      <c r="K39" s="47"/>
      <c r="L39" s="47" t="str">
        <f>_xlfn.IFNA(INDEX('[3]3.5.1'!$1:$104,MATCH(L$4,'[3]3.5.1'!$A:$A,0),MATCH(Summary!$C39,'[3]3.5.1'!$1:$1,0)),"")</f>
        <v/>
      </c>
      <c r="M39" s="47"/>
      <c r="N39" s="47"/>
      <c r="O39" s="47">
        <f>_xlfn.IFNA(INDEX('[3]3.5.1'!$1:$104,MATCH(O$4,'[3]3.5.1'!$A:$A,0),MATCH(Summary!$C39,'[3]3.5.1'!$1:$1,0)),"")</f>
        <v>43354.876</v>
      </c>
      <c r="P39" s="47"/>
      <c r="Q39" s="47"/>
      <c r="R39" s="47" t="str">
        <f>_xlfn.IFNA(INDEX('[3]3.5.1'!$1:$104,MATCH(R$4,'[3]3.5.1'!$A:$A,0),MATCH(Summary!$C39,'[3]3.5.1'!$1:$1,0)),"")</f>
        <v/>
      </c>
      <c r="S39" s="47"/>
      <c r="T39" s="47"/>
      <c r="U39" s="47" t="str">
        <f>_xlfn.IFNA(INDEX('[3]3.5.1'!$1:$104,MATCH(U$4,'[3]3.5.1'!$A:$A,0),MATCH(Summary!$C39,'[3]3.5.1'!$1:$1,0)),"")</f>
        <v/>
      </c>
      <c r="V39" s="47"/>
      <c r="W39" s="47"/>
      <c r="X39" s="47">
        <f>_xlfn.IFNA(INDEX('[3]3.5.1'!$1:$104,MATCH(X$4,'[3]3.5.1'!$A:$A,0),MATCH(Summary!$C39,'[3]3.5.1'!$1:$1,0)),"")</f>
        <v>43907.262</v>
      </c>
      <c r="Y39" s="47"/>
      <c r="Z39" s="47"/>
      <c r="AA39" s="47" t="str">
        <f>_xlfn.IFNA(INDEX('[3]3.5.1'!$1:$104,MATCH(AA$4,'[3]3.5.1'!$A:$A,0),MATCH(Summary!$C39,'[3]3.5.1'!$1:$1,0)),"")</f>
        <v/>
      </c>
      <c r="AB39" s="47"/>
      <c r="AC39" s="47"/>
      <c r="AD39" s="47" t="str">
        <f>_xlfn.IFNA(INDEX('[3]3.5.1'!$1:$104,MATCH(AD$4,'[3]3.5.1'!$A:$A,0),MATCH(Summary!$C39,'[3]3.5.1'!$1:$1,0)),"")</f>
        <v/>
      </c>
      <c r="AE39" s="47"/>
      <c r="AF39" s="47"/>
      <c r="AG39" s="47">
        <f>_xlfn.IFNA(INDEX('[3]3.5.1'!$1:$104,MATCH(AG$4,'[3]3.5.1'!$A:$A,0),MATCH(Summary!$C39,'[3]3.5.1'!$1:$1,0)),"")</f>
        <v>44497.902</v>
      </c>
      <c r="AH39" s="47"/>
      <c r="AI39" s="47"/>
      <c r="AJ39" s="47" t="str">
        <f>_xlfn.IFNA(INDEX('[3]3.5.1'!$1:$104,MATCH(AJ$4,'[3]3.5.1'!$A:$A,0),MATCH(Summary!$C39,'[3]3.5.1'!$1:$1,0)),"")</f>
        <v/>
      </c>
      <c r="AK39" s="47"/>
      <c r="AL39" s="47"/>
      <c r="AM39" s="47" t="str">
        <f>_xlfn.IFNA(INDEX('[3]3.5.1'!$1:$104,MATCH(AM$4,'[3]3.5.1'!$A:$A,0),MATCH(Summary!$C39,'[3]3.5.1'!$1:$1,0)),"")</f>
        <v/>
      </c>
      <c r="AN39" s="47"/>
      <c r="AO39" s="47"/>
      <c r="AP39" s="47">
        <f>_xlfn.IFNA(INDEX('[3]3.5.1'!$1:$104,MATCH(AP$4,'[3]3.5.1'!$A:$A,0),MATCH(Summary!$C39,'[3]3.5.1'!$1:$1,0)),"")</f>
        <v>45031.026</v>
      </c>
      <c r="AQ39" s="47"/>
      <c r="AR39" s="47"/>
      <c r="AS39" s="47" t="str">
        <f>_xlfn.IFNA(INDEX('[3]3.5.1'!$1:$104,MATCH(AS$4,'[3]3.5.1'!$A:$A,0),MATCH(Summary!$C39,'[3]3.5.1'!$1:$1,0)),"")</f>
        <v/>
      </c>
      <c r="AT39" s="47"/>
      <c r="AU39" s="47"/>
      <c r="AV39" s="47" t="str">
        <f>_xlfn.IFNA(INDEX('[3]3.5.1'!$1:$104,MATCH(AV$4,'[3]3.5.1'!$A:$A,0),MATCH(Summary!$C39,'[3]3.5.1'!$1:$1,0)),"")</f>
        <v/>
      </c>
      <c r="AW39" s="47"/>
      <c r="AX39" s="47"/>
      <c r="AY39" s="47">
        <f>_xlfn.IFNA(INDEX('[3]3.5.1'!$1:$104,MATCH(AY$4,'[3]3.5.1'!$A:$A,0),MATCH(Summary!$C39,'[3]3.5.1'!$1:$1,0)),"")</f>
        <v>45553.542</v>
      </c>
      <c r="AZ39" s="47"/>
      <c r="BA39" s="47"/>
      <c r="BB39" s="47">
        <f>_xlfn.IFNA(INDEX('[3]3.5.1'!$1:$104,MATCH(BB$4,'[3]3.5.1'!$A:$A,0),MATCH(Summary!$C39,'[3]3.5.1'!$1:$1,0)),"")</f>
        <v>46295.807</v>
      </c>
      <c r="BC39" s="47"/>
      <c r="BD39" s="47"/>
      <c r="BE39" s="47" t="str">
        <f>_xlfn.IFNA(INDEX('[3]3.5.1'!$1:$104,MATCH(BE$4,'[3]3.5.1'!$A:$A,0),MATCH(Summary!$C39,'[3]3.5.1'!$1:$1,0)),"")</f>
        <v/>
      </c>
      <c r="BF39" s="47"/>
      <c r="BG39" s="47"/>
      <c r="BH39" s="47" t="str">
        <f>_xlfn.IFNA(INDEX('[3]3.5.1'!$1:$104,MATCH(BH$4,'[3]3.5.1'!$A:$A,0),MATCH(Summary!$C39,'[3]3.5.1'!$1:$1,0)),"")</f>
        <v/>
      </c>
      <c r="BI39" s="47"/>
      <c r="BJ39" s="47"/>
      <c r="BK39" s="47" t="str">
        <f>_xlfn.IFNA(INDEX('[3]3.5.1'!$1:$104,MATCH(BK$4,'[3]3.5.1'!$A:$A,0),MATCH(Summary!$C39,'[3]3.5.1'!$1:$1,0)),"")</f>
        <v/>
      </c>
    </row>
    <row r="40" s="1" customFormat="1" ht="16.5" hidden="1" customHeight="1" outlineLevel="2" spans="1:63">
      <c r="A40" s="22"/>
      <c r="B40" s="22"/>
      <c r="C40" s="22" t="s">
        <v>460</v>
      </c>
      <c r="D40" s="42"/>
      <c r="E40" s="42"/>
      <c r="F40" s="42" t="s">
        <v>461</v>
      </c>
      <c r="G40" s="44" t="s">
        <v>462</v>
      </c>
      <c r="H40" s="45">
        <f t="shared" si="9"/>
        <v>0.00073331984394326</v>
      </c>
      <c r="I40" s="46" t="str">
        <f t="shared" si="10"/>
        <v/>
      </c>
      <c r="J40" s="47"/>
      <c r="K40" s="47"/>
      <c r="L40" s="47" t="str">
        <f>_xlfn.IFNA(INDEX('[3]3.5.1'!$1:$104,MATCH(L$4,'[3]3.5.1'!$A:$A,0),MATCH(Summary!$C40,'[3]3.5.1'!$1:$1,0)),"")</f>
        <v/>
      </c>
      <c r="M40" s="47"/>
      <c r="N40" s="47"/>
      <c r="O40" s="47">
        <f>_xlfn.IFNA(INDEX('[3]3.5.1'!$1:$104,MATCH(O$4,'[3]3.5.1'!$A:$A,0),MATCH(Summary!$C40,'[3]3.5.1'!$1:$1,0)),"")</f>
        <v>7910.978</v>
      </c>
      <c r="P40" s="47"/>
      <c r="Q40" s="47"/>
      <c r="R40" s="47" t="str">
        <f>_xlfn.IFNA(INDEX('[3]3.5.1'!$1:$104,MATCH(R$4,'[3]3.5.1'!$A:$A,0),MATCH(Summary!$C40,'[3]3.5.1'!$1:$1,0)),"")</f>
        <v/>
      </c>
      <c r="S40" s="47"/>
      <c r="T40" s="47"/>
      <c r="U40" s="47" t="str">
        <f>_xlfn.IFNA(INDEX('[3]3.5.1'!$1:$104,MATCH(U$4,'[3]3.5.1'!$A:$A,0),MATCH(Summary!$C40,'[3]3.5.1'!$1:$1,0)),"")</f>
        <v/>
      </c>
      <c r="V40" s="47"/>
      <c r="W40" s="47"/>
      <c r="X40" s="47">
        <f>_xlfn.IFNA(INDEX('[3]3.5.1'!$1:$104,MATCH(X$4,'[3]3.5.1'!$A:$A,0),MATCH(Summary!$C40,'[3]3.5.1'!$1:$1,0)),"")</f>
        <v>7356.859</v>
      </c>
      <c r="Y40" s="47"/>
      <c r="Z40" s="47"/>
      <c r="AA40" s="47" t="str">
        <f>_xlfn.IFNA(INDEX('[3]3.5.1'!$1:$104,MATCH(AA$4,'[3]3.5.1'!$A:$A,0),MATCH(Summary!$C40,'[3]3.5.1'!$1:$1,0)),"")</f>
        <v/>
      </c>
      <c r="AB40" s="47"/>
      <c r="AC40" s="47"/>
      <c r="AD40" s="47" t="str">
        <f>_xlfn.IFNA(INDEX('[3]3.5.1'!$1:$104,MATCH(AD$4,'[3]3.5.1'!$A:$A,0),MATCH(Summary!$C40,'[3]3.5.1'!$1:$1,0)),"")</f>
        <v/>
      </c>
      <c r="AE40" s="47"/>
      <c r="AF40" s="47"/>
      <c r="AG40" s="47">
        <f>_xlfn.IFNA(INDEX('[3]3.5.1'!$1:$104,MATCH(AG$4,'[3]3.5.1'!$A:$A,0),MATCH(Summary!$C40,'[3]3.5.1'!$1:$1,0)),"")</f>
        <v>7517.762</v>
      </c>
      <c r="AH40" s="47"/>
      <c r="AI40" s="47"/>
      <c r="AJ40" s="47" t="str">
        <f>_xlfn.IFNA(INDEX('[3]3.5.1'!$1:$104,MATCH(AJ$4,'[3]3.5.1'!$A:$A,0),MATCH(Summary!$C40,'[3]3.5.1'!$1:$1,0)),"")</f>
        <v/>
      </c>
      <c r="AK40" s="47"/>
      <c r="AL40" s="47"/>
      <c r="AM40" s="47" t="str">
        <f>_xlfn.IFNA(INDEX('[3]3.5.1'!$1:$104,MATCH(AM$4,'[3]3.5.1'!$A:$A,0),MATCH(Summary!$C40,'[3]3.5.1'!$1:$1,0)),"")</f>
        <v/>
      </c>
      <c r="AN40" s="47"/>
      <c r="AO40" s="47"/>
      <c r="AP40" s="47">
        <f>_xlfn.IFNA(INDEX('[3]3.5.1'!$1:$104,MATCH(AP$4,'[3]3.5.1'!$A:$A,0),MATCH(Summary!$C40,'[3]3.5.1'!$1:$1,0)),"")</f>
        <v>7755.368</v>
      </c>
      <c r="AQ40" s="47"/>
      <c r="AR40" s="47"/>
      <c r="AS40" s="47" t="str">
        <f>_xlfn.IFNA(INDEX('[3]3.5.1'!$1:$104,MATCH(AS$4,'[3]3.5.1'!$A:$A,0),MATCH(Summary!$C40,'[3]3.5.1'!$1:$1,0)),"")</f>
        <v/>
      </c>
      <c r="AT40" s="47"/>
      <c r="AU40" s="47"/>
      <c r="AV40" s="47" t="str">
        <f>_xlfn.IFNA(INDEX('[3]3.5.1'!$1:$104,MATCH(AV$4,'[3]3.5.1'!$A:$A,0),MATCH(Summary!$C40,'[3]3.5.1'!$1:$1,0)),"")</f>
        <v/>
      </c>
      <c r="AW40" s="47"/>
      <c r="AX40" s="47"/>
      <c r="AY40" s="47">
        <f>_xlfn.IFNA(INDEX('[3]3.5.1'!$1:$104,MATCH(AY$4,'[3]3.5.1'!$A:$A,0),MATCH(Summary!$C40,'[3]3.5.1'!$1:$1,0)),"")</f>
        <v>8097.482</v>
      </c>
      <c r="AZ40" s="47"/>
      <c r="BA40" s="47"/>
      <c r="BB40" s="47">
        <f>_xlfn.IFNA(INDEX('[3]3.5.1'!$1:$104,MATCH(BB$4,'[3]3.5.1'!$A:$A,0),MATCH(Summary!$C40,'[3]3.5.1'!$1:$1,0)),"")</f>
        <v>8768.186</v>
      </c>
      <c r="BC40" s="47"/>
      <c r="BD40" s="47"/>
      <c r="BE40" s="47" t="str">
        <f>_xlfn.IFNA(INDEX('[3]3.5.1'!$1:$104,MATCH(BE$4,'[3]3.5.1'!$A:$A,0),MATCH(Summary!$C40,'[3]3.5.1'!$1:$1,0)),"")</f>
        <v/>
      </c>
      <c r="BF40" s="47"/>
      <c r="BG40" s="47"/>
      <c r="BH40" s="47" t="str">
        <f>_xlfn.IFNA(INDEX('[3]3.5.1'!$1:$104,MATCH(BH$4,'[3]3.5.1'!$A:$A,0),MATCH(Summary!$C40,'[3]3.5.1'!$1:$1,0)),"")</f>
        <v/>
      </c>
      <c r="BI40" s="47"/>
      <c r="BJ40" s="47"/>
      <c r="BK40" s="47" t="str">
        <f>_xlfn.IFNA(INDEX('[3]3.5.1'!$1:$104,MATCH(BK$4,'[3]3.5.1'!$A:$A,0),MATCH(Summary!$C40,'[3]3.5.1'!$1:$1,0)),"")</f>
        <v/>
      </c>
    </row>
    <row r="41" s="1" customFormat="1" ht="16.5" hidden="1" customHeight="1" outlineLevel="2" spans="1:63">
      <c r="A41" s="22"/>
      <c r="B41" s="22"/>
      <c r="C41" s="22" t="s">
        <v>463</v>
      </c>
      <c r="D41" s="42"/>
      <c r="E41" s="42"/>
      <c r="F41" s="57" t="s">
        <v>220</v>
      </c>
      <c r="G41" s="58" t="s">
        <v>221</v>
      </c>
      <c r="H41" s="45">
        <f t="shared" si="9"/>
        <v>0.0120040310415637</v>
      </c>
      <c r="I41" s="46" t="str">
        <f t="shared" si="10"/>
        <v/>
      </c>
      <c r="J41" s="47"/>
      <c r="K41" s="47"/>
      <c r="L41" s="47" t="str">
        <f>_xlfn.IFNA(INDEX('[3]3.5.1'!$1:$104,MATCH(L$4,'[3]3.5.1'!$A:$A,0),MATCH(Summary!$C41,'[3]3.5.1'!$1:$1,0)),"")</f>
        <v/>
      </c>
      <c r="M41" s="47"/>
      <c r="N41" s="47"/>
      <c r="O41" s="47">
        <f>_xlfn.IFNA(INDEX('[3]3.5.1'!$1:$104,MATCH(O$4,'[3]3.5.1'!$A:$A,0),MATCH(Summary!$C41,'[3]3.5.1'!$1:$1,0)),"")</f>
        <v>129498.235</v>
      </c>
      <c r="P41" s="47"/>
      <c r="Q41" s="47"/>
      <c r="R41" s="47" t="str">
        <f>_xlfn.IFNA(INDEX('[3]3.5.1'!$1:$104,MATCH(R$4,'[3]3.5.1'!$A:$A,0),MATCH(Summary!$C41,'[3]3.5.1'!$1:$1,0)),"")</f>
        <v/>
      </c>
      <c r="S41" s="47"/>
      <c r="T41" s="47"/>
      <c r="U41" s="47" t="str">
        <f>_xlfn.IFNA(INDEX('[3]3.5.1'!$1:$104,MATCH(U$4,'[3]3.5.1'!$A:$A,0),MATCH(Summary!$C41,'[3]3.5.1'!$1:$1,0)),"")</f>
        <v/>
      </c>
      <c r="V41" s="47"/>
      <c r="W41" s="47"/>
      <c r="X41" s="47">
        <f>_xlfn.IFNA(INDEX('[3]3.5.1'!$1:$104,MATCH(X$4,'[3]3.5.1'!$A:$A,0),MATCH(Summary!$C41,'[3]3.5.1'!$1:$1,0)),"")</f>
        <v>98802.229</v>
      </c>
      <c r="Y41" s="47"/>
      <c r="Z41" s="47"/>
      <c r="AA41" s="47" t="str">
        <f>_xlfn.IFNA(INDEX('[3]3.5.1'!$1:$104,MATCH(AA$4,'[3]3.5.1'!$A:$A,0),MATCH(Summary!$C41,'[3]3.5.1'!$1:$1,0)),"")</f>
        <v/>
      </c>
      <c r="AB41" s="47"/>
      <c r="AC41" s="47"/>
      <c r="AD41" s="47" t="str">
        <f>_xlfn.IFNA(INDEX('[3]3.5.1'!$1:$104,MATCH(AD$4,'[3]3.5.1'!$A:$A,0),MATCH(Summary!$C41,'[3]3.5.1'!$1:$1,0)),"")</f>
        <v/>
      </c>
      <c r="AE41" s="47"/>
      <c r="AF41" s="47"/>
      <c r="AG41" s="47">
        <f>_xlfn.IFNA(INDEX('[3]3.5.1'!$1:$104,MATCH(AG$4,'[3]3.5.1'!$A:$A,0),MATCH(Summary!$C41,'[3]3.5.1'!$1:$1,0)),"")</f>
        <v>98122.162</v>
      </c>
      <c r="AH41" s="47"/>
      <c r="AI41" s="47"/>
      <c r="AJ41" s="47" t="str">
        <f>_xlfn.IFNA(INDEX('[3]3.5.1'!$1:$104,MATCH(AJ$4,'[3]3.5.1'!$A:$A,0),MATCH(Summary!$C41,'[3]3.5.1'!$1:$1,0)),"")</f>
        <v/>
      </c>
      <c r="AK41" s="47"/>
      <c r="AL41" s="47"/>
      <c r="AM41" s="47" t="str">
        <f>_xlfn.IFNA(INDEX('[3]3.5.1'!$1:$104,MATCH(AM$4,'[3]3.5.1'!$A:$A,0),MATCH(Summary!$C41,'[3]3.5.1'!$1:$1,0)),"")</f>
        <v/>
      </c>
      <c r="AN41" s="47"/>
      <c r="AO41" s="47"/>
      <c r="AP41" s="47">
        <f>_xlfn.IFNA(INDEX('[3]3.5.1'!$1:$104,MATCH(AP$4,'[3]3.5.1'!$A:$A,0),MATCH(Summary!$C41,'[3]3.5.1'!$1:$1,0)),"")</f>
        <v>97363.198</v>
      </c>
      <c r="AQ41" s="47"/>
      <c r="AR41" s="47"/>
      <c r="AS41" s="47" t="str">
        <f>_xlfn.IFNA(INDEX('[3]3.5.1'!$1:$104,MATCH(AS$4,'[3]3.5.1'!$A:$A,0),MATCH(Summary!$C41,'[3]3.5.1'!$1:$1,0)),"")</f>
        <v/>
      </c>
      <c r="AT41" s="47"/>
      <c r="AU41" s="47"/>
      <c r="AV41" s="47" t="str">
        <f>_xlfn.IFNA(INDEX('[3]3.5.1'!$1:$104,MATCH(AV$4,'[3]3.5.1'!$A:$A,0),MATCH(Summary!$C41,'[3]3.5.1'!$1:$1,0)),"")</f>
        <v/>
      </c>
      <c r="AW41" s="47"/>
      <c r="AX41" s="47"/>
      <c r="AY41" s="47">
        <f>_xlfn.IFNA(INDEX('[3]3.5.1'!$1:$104,MATCH(AY$4,'[3]3.5.1'!$A:$A,0),MATCH(Summary!$C41,'[3]3.5.1'!$1:$1,0)),"")</f>
        <v>100754.084</v>
      </c>
      <c r="AZ41" s="47"/>
      <c r="BA41" s="47"/>
      <c r="BB41" s="47">
        <f>_xlfn.IFNA(INDEX('[3]3.5.1'!$1:$104,MATCH(BB$4,'[3]3.5.1'!$A:$A,0),MATCH(Summary!$C41,'[3]3.5.1'!$1:$1,0)),"")</f>
        <v>99022.398</v>
      </c>
      <c r="BC41" s="47"/>
      <c r="BD41" s="47"/>
      <c r="BE41" s="47" t="str">
        <f>_xlfn.IFNA(INDEX('[3]3.5.1'!$1:$104,MATCH(BE$4,'[3]3.5.1'!$A:$A,0),MATCH(Summary!$C41,'[3]3.5.1'!$1:$1,0)),"")</f>
        <v/>
      </c>
      <c r="BF41" s="47"/>
      <c r="BG41" s="47"/>
      <c r="BH41" s="47" t="str">
        <f>_xlfn.IFNA(INDEX('[3]3.5.1'!$1:$104,MATCH(BH$4,'[3]3.5.1'!$A:$A,0),MATCH(Summary!$C41,'[3]3.5.1'!$1:$1,0)),"")</f>
        <v/>
      </c>
      <c r="BI41" s="47"/>
      <c r="BJ41" s="47"/>
      <c r="BK41" s="47" t="str">
        <f>_xlfn.IFNA(INDEX('[3]3.5.1'!$1:$104,MATCH(BK$4,'[3]3.5.1'!$A:$A,0),MATCH(Summary!$C41,'[3]3.5.1'!$1:$1,0)),"")</f>
        <v/>
      </c>
    </row>
    <row r="42" s="1" customFormat="1" ht="16.5" customHeight="1" outlineLevel="1" collapsed="1" spans="1:63">
      <c r="A42" s="22"/>
      <c r="B42" s="22"/>
      <c r="C42" s="22" t="s">
        <v>464</v>
      </c>
      <c r="D42" s="59"/>
      <c r="E42" s="59"/>
      <c r="F42" s="59" t="s">
        <v>465</v>
      </c>
      <c r="G42" s="59" t="s">
        <v>466</v>
      </c>
      <c r="H42" s="60">
        <f t="shared" si="9"/>
        <v>0</v>
      </c>
      <c r="I42" s="61" t="str">
        <f t="shared" si="10"/>
        <v/>
      </c>
      <c r="J42" s="62"/>
      <c r="K42" s="62"/>
      <c r="L42" s="62" t="str">
        <f>_xlfn.IFNA(INDEX('[3]3.5.1'!$1:$104,MATCH(L$4,'[3]3.5.1'!$A:$A,0),MATCH(Summary!$C42,'[3]3.5.1'!$1:$1,0)),"")</f>
        <v/>
      </c>
      <c r="M42" s="62"/>
      <c r="N42" s="62"/>
      <c r="O42" s="62">
        <f>_xlfn.IFNA(INDEX('[3]3.5.1'!$1:$104,MATCH(O$4,'[3]3.5.1'!$A:$A,0),MATCH(Summary!$C42,'[3]3.5.1'!$1:$1,0)),"")</f>
        <v>0</v>
      </c>
      <c r="P42" s="62"/>
      <c r="Q42" s="62"/>
      <c r="R42" s="62" t="str">
        <f>_xlfn.IFNA(INDEX('[3]3.5.1'!$1:$104,MATCH(R$4,'[3]3.5.1'!$A:$A,0),MATCH(Summary!$C42,'[3]3.5.1'!$1:$1,0)),"")</f>
        <v/>
      </c>
      <c r="S42" s="62"/>
      <c r="T42" s="62"/>
      <c r="U42" s="62" t="str">
        <f>_xlfn.IFNA(INDEX('[3]3.5.1'!$1:$104,MATCH(U$4,'[3]3.5.1'!$A:$A,0),MATCH(Summary!$C42,'[3]3.5.1'!$1:$1,0)),"")</f>
        <v/>
      </c>
      <c r="V42" s="62"/>
      <c r="W42" s="62"/>
      <c r="X42" s="62">
        <f>_xlfn.IFNA(INDEX('[3]3.5.1'!$1:$104,MATCH(X$4,'[3]3.5.1'!$A:$A,0),MATCH(Summary!$C42,'[3]3.5.1'!$1:$1,0)),"")</f>
        <v>0</v>
      </c>
      <c r="Y42" s="62"/>
      <c r="Z42" s="62"/>
      <c r="AA42" s="62" t="str">
        <f>_xlfn.IFNA(INDEX('[3]3.5.1'!$1:$104,MATCH(AA$4,'[3]3.5.1'!$A:$A,0),MATCH(Summary!$C42,'[3]3.5.1'!$1:$1,0)),"")</f>
        <v/>
      </c>
      <c r="AB42" s="62"/>
      <c r="AC42" s="62"/>
      <c r="AD42" s="62" t="str">
        <f>_xlfn.IFNA(INDEX('[3]3.5.1'!$1:$104,MATCH(AD$4,'[3]3.5.1'!$A:$A,0),MATCH(Summary!$C42,'[3]3.5.1'!$1:$1,0)),"")</f>
        <v/>
      </c>
      <c r="AE42" s="62"/>
      <c r="AF42" s="62"/>
      <c r="AG42" s="62">
        <f>_xlfn.IFNA(INDEX('[3]3.5.1'!$1:$104,MATCH(AG$4,'[3]3.5.1'!$A:$A,0),MATCH(Summary!$C42,'[3]3.5.1'!$1:$1,0)),"")</f>
        <v>0</v>
      </c>
      <c r="AH42" s="62"/>
      <c r="AI42" s="62"/>
      <c r="AJ42" s="62" t="str">
        <f>_xlfn.IFNA(INDEX('[3]3.5.1'!$1:$104,MATCH(AJ$4,'[3]3.5.1'!$A:$A,0),MATCH(Summary!$C42,'[3]3.5.1'!$1:$1,0)),"")</f>
        <v/>
      </c>
      <c r="AK42" s="62"/>
      <c r="AL42" s="62"/>
      <c r="AM42" s="62" t="str">
        <f>_xlfn.IFNA(INDEX('[3]3.5.1'!$1:$104,MATCH(AM$4,'[3]3.5.1'!$A:$A,0),MATCH(Summary!$C42,'[3]3.5.1'!$1:$1,0)),"")</f>
        <v/>
      </c>
      <c r="AN42" s="62"/>
      <c r="AO42" s="62"/>
      <c r="AP42" s="62">
        <f>_xlfn.IFNA(INDEX('[3]3.5.1'!$1:$104,MATCH(AP$4,'[3]3.5.1'!$A:$A,0),MATCH(Summary!$C42,'[3]3.5.1'!$1:$1,0)),"")</f>
        <v>0</v>
      </c>
      <c r="AQ42" s="62"/>
      <c r="AR42" s="62"/>
      <c r="AS42" s="62" t="str">
        <f>_xlfn.IFNA(INDEX('[3]3.5.1'!$1:$104,MATCH(AS$4,'[3]3.5.1'!$A:$A,0),MATCH(Summary!$C42,'[3]3.5.1'!$1:$1,0)),"")</f>
        <v/>
      </c>
      <c r="AT42" s="62"/>
      <c r="AU42" s="62"/>
      <c r="AV42" s="62" t="str">
        <f>_xlfn.IFNA(INDEX('[3]3.5.1'!$1:$104,MATCH(AV$4,'[3]3.5.1'!$A:$A,0),MATCH(Summary!$C42,'[3]3.5.1'!$1:$1,0)),"")</f>
        <v/>
      </c>
      <c r="AW42" s="62"/>
      <c r="AX42" s="62"/>
      <c r="AY42" s="62">
        <f>_xlfn.IFNA(INDEX('[3]3.5.1'!$1:$104,MATCH(AY$4,'[3]3.5.1'!$A:$A,0),MATCH(Summary!$C42,'[3]3.5.1'!$1:$1,0)),"")</f>
        <v>0</v>
      </c>
      <c r="AZ42" s="62"/>
      <c r="BA42" s="62"/>
      <c r="BB42" s="62">
        <f>_xlfn.IFNA(INDEX('[3]3.5.1'!$1:$104,MATCH(BB$4,'[3]3.5.1'!$A:$A,0),MATCH(Summary!$C42,'[3]3.5.1'!$1:$1,0)),"")</f>
        <v>0</v>
      </c>
      <c r="BC42" s="62"/>
      <c r="BD42" s="62"/>
      <c r="BE42" s="62" t="str">
        <f>_xlfn.IFNA(INDEX('[3]3.5.1'!$1:$104,MATCH(BE$4,'[3]3.5.1'!$A:$A,0),MATCH(Summary!$C42,'[3]3.5.1'!$1:$1,0)),"")</f>
        <v/>
      </c>
      <c r="BF42" s="62"/>
      <c r="BG42" s="62"/>
      <c r="BH42" s="62" t="str">
        <f>_xlfn.IFNA(INDEX('[3]3.5.1'!$1:$104,MATCH(BH$4,'[3]3.5.1'!$A:$A,0),MATCH(Summary!$C42,'[3]3.5.1'!$1:$1,0)),"")</f>
        <v/>
      </c>
      <c r="BI42" s="62"/>
      <c r="BJ42" s="62"/>
      <c r="BK42" s="62" t="str">
        <f>_xlfn.IFNA(INDEX('[3]3.5.1'!$1:$104,MATCH(BK$4,'[3]3.5.1'!$A:$A,0),MATCH(Summary!$C42,'[3]3.5.1'!$1:$1,0)),"")</f>
        <v/>
      </c>
    </row>
    <row r="43" s="1" customFormat="1" ht="16.5" customHeight="1" outlineLevel="1" spans="1:63">
      <c r="A43" s="22"/>
      <c r="B43" s="22"/>
      <c r="C43" s="22" t="s">
        <v>467</v>
      </c>
      <c r="D43" s="59"/>
      <c r="E43" s="59"/>
      <c r="F43" s="59" t="s">
        <v>468</v>
      </c>
      <c r="G43" s="59" t="s">
        <v>469</v>
      </c>
      <c r="H43" s="60">
        <f t="shared" si="9"/>
        <v>0.0200150636198512</v>
      </c>
      <c r="I43" s="61" t="str">
        <f t="shared" si="10"/>
        <v/>
      </c>
      <c r="J43" s="62"/>
      <c r="K43" s="62"/>
      <c r="L43" s="62" t="str">
        <f>_xlfn.IFNA(INDEX('[3]3.5.1'!$1:$104,MATCH(L$4,'[3]3.5.1'!$A:$A,0),MATCH(Summary!$C43,'[3]3.5.1'!$1:$1,0)),"")</f>
        <v/>
      </c>
      <c r="M43" s="62"/>
      <c r="N43" s="62"/>
      <c r="O43" s="62">
        <f>_xlfn.IFNA(INDEX('[3]3.5.1'!$1:$104,MATCH(O$4,'[3]3.5.1'!$A:$A,0),MATCH(Summary!$C43,'[3]3.5.1'!$1:$1,0)),"")</f>
        <v>215920.419</v>
      </c>
      <c r="P43" s="62"/>
      <c r="Q43" s="62"/>
      <c r="R43" s="62" t="str">
        <f>_xlfn.IFNA(INDEX('[3]3.5.1'!$1:$104,MATCH(R$4,'[3]3.5.1'!$A:$A,0),MATCH(Summary!$C43,'[3]3.5.1'!$1:$1,0)),"")</f>
        <v/>
      </c>
      <c r="S43" s="62"/>
      <c r="T43" s="62"/>
      <c r="U43" s="62" t="str">
        <f>_xlfn.IFNA(INDEX('[3]3.5.1'!$1:$104,MATCH(U$4,'[3]3.5.1'!$A:$A,0),MATCH(Summary!$C43,'[3]3.5.1'!$1:$1,0)),"")</f>
        <v/>
      </c>
      <c r="V43" s="62"/>
      <c r="W43" s="62"/>
      <c r="X43" s="62">
        <f>_xlfn.IFNA(INDEX('[3]3.5.1'!$1:$104,MATCH(X$4,'[3]3.5.1'!$A:$A,0),MATCH(Summary!$C43,'[3]3.5.1'!$1:$1,0)),"")</f>
        <v>205053.452</v>
      </c>
      <c r="Y43" s="62"/>
      <c r="Z43" s="62"/>
      <c r="AA43" s="62" t="str">
        <f>_xlfn.IFNA(INDEX('[3]3.5.1'!$1:$104,MATCH(AA$4,'[3]3.5.1'!$A:$A,0),MATCH(Summary!$C43,'[3]3.5.1'!$1:$1,0)),"")</f>
        <v/>
      </c>
      <c r="AB43" s="62"/>
      <c r="AC43" s="62"/>
      <c r="AD43" s="62" t="str">
        <f>_xlfn.IFNA(INDEX('[3]3.5.1'!$1:$104,MATCH(AD$4,'[3]3.5.1'!$A:$A,0),MATCH(Summary!$C43,'[3]3.5.1'!$1:$1,0)),"")</f>
        <v/>
      </c>
      <c r="AE43" s="62"/>
      <c r="AF43" s="62"/>
      <c r="AG43" s="62">
        <f>_xlfn.IFNA(INDEX('[3]3.5.1'!$1:$104,MATCH(AG$4,'[3]3.5.1'!$A:$A,0),MATCH(Summary!$C43,'[3]3.5.1'!$1:$1,0)),"")</f>
        <v>194690.003</v>
      </c>
      <c r="AH43" s="62"/>
      <c r="AI43" s="62"/>
      <c r="AJ43" s="62" t="str">
        <f>_xlfn.IFNA(INDEX('[3]3.5.1'!$1:$104,MATCH(AJ$4,'[3]3.5.1'!$A:$A,0),MATCH(Summary!$C43,'[3]3.5.1'!$1:$1,0)),"")</f>
        <v/>
      </c>
      <c r="AK43" s="62"/>
      <c r="AL43" s="62"/>
      <c r="AM43" s="62" t="str">
        <f>_xlfn.IFNA(INDEX('[3]3.5.1'!$1:$104,MATCH(AM$4,'[3]3.5.1'!$A:$A,0),MATCH(Summary!$C43,'[3]3.5.1'!$1:$1,0)),"")</f>
        <v/>
      </c>
      <c r="AN43" s="62"/>
      <c r="AO43" s="62"/>
      <c r="AP43" s="62">
        <f>_xlfn.IFNA(INDEX('[3]3.5.1'!$1:$104,MATCH(AP$4,'[3]3.5.1'!$A:$A,0),MATCH(Summary!$C43,'[3]3.5.1'!$1:$1,0)),"")</f>
        <v>213416.254</v>
      </c>
      <c r="AQ43" s="62"/>
      <c r="AR43" s="62"/>
      <c r="AS43" s="62" t="str">
        <f>_xlfn.IFNA(INDEX('[3]3.5.1'!$1:$104,MATCH(AS$4,'[3]3.5.1'!$A:$A,0),MATCH(Summary!$C43,'[3]3.5.1'!$1:$1,0)),"")</f>
        <v/>
      </c>
      <c r="AT43" s="62"/>
      <c r="AU43" s="62"/>
      <c r="AV43" s="62" t="str">
        <f>_xlfn.IFNA(INDEX('[3]3.5.1'!$1:$104,MATCH(AV$4,'[3]3.5.1'!$A:$A,0),MATCH(Summary!$C43,'[3]3.5.1'!$1:$1,0)),"")</f>
        <v/>
      </c>
      <c r="AW43" s="62"/>
      <c r="AX43" s="62"/>
      <c r="AY43" s="62">
        <f>_xlfn.IFNA(INDEX('[3]3.5.1'!$1:$104,MATCH(AY$4,'[3]3.5.1'!$A:$A,0),MATCH(Summary!$C43,'[3]3.5.1'!$1:$1,0)),"")</f>
        <v>215013.888</v>
      </c>
      <c r="AZ43" s="62"/>
      <c r="BA43" s="62"/>
      <c r="BB43" s="62">
        <f>_xlfn.IFNA(INDEX('[3]3.5.1'!$1:$104,MATCH(BB$4,'[3]3.5.1'!$A:$A,0),MATCH(Summary!$C43,'[3]3.5.1'!$1:$1,0)),"")</f>
        <v>190847.019</v>
      </c>
      <c r="BC43" s="62"/>
      <c r="BD43" s="62"/>
      <c r="BE43" s="62" t="str">
        <f>_xlfn.IFNA(INDEX('[3]3.5.1'!$1:$104,MATCH(BE$4,'[3]3.5.1'!$A:$A,0),MATCH(Summary!$C43,'[3]3.5.1'!$1:$1,0)),"")</f>
        <v/>
      </c>
      <c r="BF43" s="62"/>
      <c r="BG43" s="62"/>
      <c r="BH43" s="62" t="str">
        <f>_xlfn.IFNA(INDEX('[3]3.5.1'!$1:$104,MATCH(BH$4,'[3]3.5.1'!$A:$A,0),MATCH(Summary!$C43,'[3]3.5.1'!$1:$1,0)),"")</f>
        <v/>
      </c>
      <c r="BI43" s="62"/>
      <c r="BJ43" s="62"/>
      <c r="BK43" s="62" t="str">
        <f>_xlfn.IFNA(INDEX('[3]3.5.1'!$1:$104,MATCH(BK$4,'[3]3.5.1'!$A:$A,0),MATCH(Summary!$C43,'[3]3.5.1'!$1:$1,0)),"")</f>
        <v/>
      </c>
    </row>
    <row r="44" s="1" customFormat="1" ht="16.5" customHeight="1" outlineLevel="1" spans="1:63">
      <c r="A44" s="22"/>
      <c r="B44" s="22"/>
      <c r="C44" s="22" t="s">
        <v>470</v>
      </c>
      <c r="D44" s="59"/>
      <c r="E44" s="59"/>
      <c r="F44" s="59" t="s">
        <v>471</v>
      </c>
      <c r="G44" s="59" t="s">
        <v>472</v>
      </c>
      <c r="H44" s="60">
        <f t="shared" si="9"/>
        <v>0.00110620433480142</v>
      </c>
      <c r="I44" s="61" t="str">
        <f t="shared" si="10"/>
        <v/>
      </c>
      <c r="J44" s="62"/>
      <c r="K44" s="62"/>
      <c r="L44" s="62" t="str">
        <f>_xlfn.IFNA(INDEX('[3]3.5.1'!$1:$104,MATCH(L$4,'[3]3.5.1'!$A:$A,0),MATCH(Summary!$C44,'[3]3.5.1'!$1:$1,0)),"")</f>
        <v/>
      </c>
      <c r="M44" s="62"/>
      <c r="N44" s="62"/>
      <c r="O44" s="62">
        <f>_xlfn.IFNA(INDEX('[3]3.5.1'!$1:$104,MATCH(O$4,'[3]3.5.1'!$A:$A,0),MATCH(Summary!$C44,'[3]3.5.1'!$1:$1,0)),"")</f>
        <v>11933.617</v>
      </c>
      <c r="P44" s="62"/>
      <c r="Q44" s="62"/>
      <c r="R44" s="62" t="str">
        <f>_xlfn.IFNA(INDEX('[3]3.5.1'!$1:$104,MATCH(R$4,'[3]3.5.1'!$A:$A,0),MATCH(Summary!$C44,'[3]3.5.1'!$1:$1,0)),"")</f>
        <v/>
      </c>
      <c r="S44" s="62"/>
      <c r="T44" s="62"/>
      <c r="U44" s="62" t="str">
        <f>_xlfn.IFNA(INDEX('[3]3.5.1'!$1:$104,MATCH(U$4,'[3]3.5.1'!$A:$A,0),MATCH(Summary!$C44,'[3]3.5.1'!$1:$1,0)),"")</f>
        <v/>
      </c>
      <c r="V44" s="62"/>
      <c r="W44" s="62"/>
      <c r="X44" s="62">
        <f>_xlfn.IFNA(INDEX('[3]3.5.1'!$1:$104,MATCH(X$4,'[3]3.5.1'!$A:$A,0),MATCH(Summary!$C44,'[3]3.5.1'!$1:$1,0)),"")</f>
        <v>11139.161</v>
      </c>
      <c r="Y44" s="62"/>
      <c r="Z44" s="62"/>
      <c r="AA44" s="62" t="str">
        <f>_xlfn.IFNA(INDEX('[3]3.5.1'!$1:$104,MATCH(AA$4,'[3]3.5.1'!$A:$A,0),MATCH(Summary!$C44,'[3]3.5.1'!$1:$1,0)),"")</f>
        <v/>
      </c>
      <c r="AB44" s="62"/>
      <c r="AC44" s="62"/>
      <c r="AD44" s="62" t="str">
        <f>_xlfn.IFNA(INDEX('[3]3.5.1'!$1:$104,MATCH(AD$4,'[3]3.5.1'!$A:$A,0),MATCH(Summary!$C44,'[3]3.5.1'!$1:$1,0)),"")</f>
        <v/>
      </c>
      <c r="AE44" s="62"/>
      <c r="AF44" s="62"/>
      <c r="AG44" s="62">
        <f>_xlfn.IFNA(INDEX('[3]3.5.1'!$1:$104,MATCH(AG$4,'[3]3.5.1'!$A:$A,0),MATCH(Summary!$C44,'[3]3.5.1'!$1:$1,0)),"")</f>
        <v>12926.27</v>
      </c>
      <c r="AH44" s="62"/>
      <c r="AI44" s="62"/>
      <c r="AJ44" s="62" t="str">
        <f>_xlfn.IFNA(INDEX('[3]3.5.1'!$1:$104,MATCH(AJ$4,'[3]3.5.1'!$A:$A,0),MATCH(Summary!$C44,'[3]3.5.1'!$1:$1,0)),"")</f>
        <v/>
      </c>
      <c r="AK44" s="62"/>
      <c r="AL44" s="62"/>
      <c r="AM44" s="62" t="str">
        <f>_xlfn.IFNA(INDEX('[3]3.5.1'!$1:$104,MATCH(AM$4,'[3]3.5.1'!$A:$A,0),MATCH(Summary!$C44,'[3]3.5.1'!$1:$1,0)),"")</f>
        <v/>
      </c>
      <c r="AN44" s="62"/>
      <c r="AO44" s="62"/>
      <c r="AP44" s="62">
        <f>_xlfn.IFNA(INDEX('[3]3.5.1'!$1:$104,MATCH(AP$4,'[3]3.5.1'!$A:$A,0),MATCH(Summary!$C44,'[3]3.5.1'!$1:$1,0)),"")</f>
        <v>12032.436</v>
      </c>
      <c r="AQ44" s="62"/>
      <c r="AR44" s="62"/>
      <c r="AS44" s="62" t="str">
        <f>_xlfn.IFNA(INDEX('[3]3.5.1'!$1:$104,MATCH(AS$4,'[3]3.5.1'!$A:$A,0),MATCH(Summary!$C44,'[3]3.5.1'!$1:$1,0)),"")</f>
        <v/>
      </c>
      <c r="AT44" s="62"/>
      <c r="AU44" s="62"/>
      <c r="AV44" s="62" t="str">
        <f>_xlfn.IFNA(INDEX('[3]3.5.1'!$1:$104,MATCH(AV$4,'[3]3.5.1'!$A:$A,0),MATCH(Summary!$C44,'[3]3.5.1'!$1:$1,0)),"")</f>
        <v/>
      </c>
      <c r="AW44" s="62"/>
      <c r="AX44" s="62"/>
      <c r="AY44" s="62">
        <f>_xlfn.IFNA(INDEX('[3]3.5.1'!$1:$104,MATCH(AY$4,'[3]3.5.1'!$A:$A,0),MATCH(Summary!$C44,'[3]3.5.1'!$1:$1,0)),"")</f>
        <v>12206.375</v>
      </c>
      <c r="AZ44" s="62"/>
      <c r="BA44" s="62"/>
      <c r="BB44" s="62">
        <f>_xlfn.IFNA(INDEX('[3]3.5.1'!$1:$104,MATCH(BB$4,'[3]3.5.1'!$A:$A,0),MATCH(Summary!$C44,'[3]3.5.1'!$1:$1,0)),"")</f>
        <v>8431.267</v>
      </c>
      <c r="BC44" s="62"/>
      <c r="BD44" s="62"/>
      <c r="BE44" s="62" t="str">
        <f>_xlfn.IFNA(INDEX('[3]3.5.1'!$1:$104,MATCH(BE$4,'[3]3.5.1'!$A:$A,0),MATCH(Summary!$C44,'[3]3.5.1'!$1:$1,0)),"")</f>
        <v/>
      </c>
      <c r="BF44" s="62"/>
      <c r="BG44" s="62"/>
      <c r="BH44" s="62" t="str">
        <f>_xlfn.IFNA(INDEX('[3]3.5.1'!$1:$104,MATCH(BH$4,'[3]3.5.1'!$A:$A,0),MATCH(Summary!$C44,'[3]3.5.1'!$1:$1,0)),"")</f>
        <v/>
      </c>
      <c r="BI44" s="62"/>
      <c r="BJ44" s="62"/>
      <c r="BK44" s="62" t="str">
        <f>_xlfn.IFNA(INDEX('[3]3.5.1'!$1:$104,MATCH(BK$4,'[3]3.5.1'!$A:$A,0),MATCH(Summary!$C44,'[3]3.5.1'!$1:$1,0)),"")</f>
        <v/>
      </c>
    </row>
    <row r="45" s="1" customFormat="1" ht="16.5" customHeight="1" outlineLevel="1" spans="1:63">
      <c r="A45" s="22"/>
      <c r="B45" s="22"/>
      <c r="C45" s="22" t="s">
        <v>473</v>
      </c>
      <c r="D45" s="59"/>
      <c r="E45" s="59"/>
      <c r="F45" s="59" t="s">
        <v>474</v>
      </c>
      <c r="G45" s="59" t="s">
        <v>475</v>
      </c>
      <c r="H45" s="60">
        <f t="shared" si="9"/>
        <v>0.0211920774081729</v>
      </c>
      <c r="I45" s="61" t="str">
        <f t="shared" si="10"/>
        <v/>
      </c>
      <c r="J45" s="62"/>
      <c r="K45" s="62"/>
      <c r="L45" s="62" t="str">
        <f>_xlfn.IFNA(INDEX('[3]3.5.1'!$1:$104,MATCH(L$4,'[3]3.5.1'!$A:$A,0),MATCH(Summary!$C45,'[3]3.5.1'!$1:$1,0)),"")</f>
        <v/>
      </c>
      <c r="M45" s="62"/>
      <c r="N45" s="62"/>
      <c r="O45" s="62">
        <f>_xlfn.IFNA(INDEX('[3]3.5.1'!$1:$104,MATCH(O$4,'[3]3.5.1'!$A:$A,0),MATCH(Summary!$C45,'[3]3.5.1'!$1:$1,0)),"")</f>
        <v>228617.921</v>
      </c>
      <c r="P45" s="62"/>
      <c r="Q45" s="62"/>
      <c r="R45" s="62" t="str">
        <f>_xlfn.IFNA(INDEX('[3]3.5.1'!$1:$104,MATCH(R$4,'[3]3.5.1'!$A:$A,0),MATCH(Summary!$C45,'[3]3.5.1'!$1:$1,0)),"")</f>
        <v/>
      </c>
      <c r="S45" s="62"/>
      <c r="T45" s="62"/>
      <c r="U45" s="62" t="str">
        <f>_xlfn.IFNA(INDEX('[3]3.5.1'!$1:$104,MATCH(U$4,'[3]3.5.1'!$A:$A,0),MATCH(Summary!$C45,'[3]3.5.1'!$1:$1,0)),"")</f>
        <v/>
      </c>
      <c r="V45" s="62"/>
      <c r="W45" s="62"/>
      <c r="X45" s="62">
        <f>_xlfn.IFNA(INDEX('[3]3.5.1'!$1:$104,MATCH(X$4,'[3]3.5.1'!$A:$A,0),MATCH(Summary!$C45,'[3]3.5.1'!$1:$1,0)),"")</f>
        <v>215874.986</v>
      </c>
      <c r="Y45" s="62"/>
      <c r="Z45" s="62"/>
      <c r="AA45" s="62" t="str">
        <f>_xlfn.IFNA(INDEX('[3]3.5.1'!$1:$104,MATCH(AA$4,'[3]3.5.1'!$A:$A,0),MATCH(Summary!$C45,'[3]3.5.1'!$1:$1,0)),"")</f>
        <v/>
      </c>
      <c r="AB45" s="62"/>
      <c r="AC45" s="62"/>
      <c r="AD45" s="62" t="str">
        <f>_xlfn.IFNA(INDEX('[3]3.5.1'!$1:$104,MATCH(AD$4,'[3]3.5.1'!$A:$A,0),MATCH(Summary!$C45,'[3]3.5.1'!$1:$1,0)),"")</f>
        <v/>
      </c>
      <c r="AE45" s="62"/>
      <c r="AF45" s="62"/>
      <c r="AG45" s="62">
        <f>_xlfn.IFNA(INDEX('[3]3.5.1'!$1:$104,MATCH(AG$4,'[3]3.5.1'!$A:$A,0),MATCH(Summary!$C45,'[3]3.5.1'!$1:$1,0)),"")</f>
        <v>203059.652</v>
      </c>
      <c r="AH45" s="62"/>
      <c r="AI45" s="62"/>
      <c r="AJ45" s="62" t="str">
        <f>_xlfn.IFNA(INDEX('[3]3.5.1'!$1:$104,MATCH(AJ$4,'[3]3.5.1'!$A:$A,0),MATCH(Summary!$C45,'[3]3.5.1'!$1:$1,0)),"")</f>
        <v/>
      </c>
      <c r="AK45" s="62"/>
      <c r="AL45" s="62"/>
      <c r="AM45" s="62" t="str">
        <f>_xlfn.IFNA(INDEX('[3]3.5.1'!$1:$104,MATCH(AM$4,'[3]3.5.1'!$A:$A,0),MATCH(Summary!$C45,'[3]3.5.1'!$1:$1,0)),"")</f>
        <v/>
      </c>
      <c r="AN45" s="62"/>
      <c r="AO45" s="62"/>
      <c r="AP45" s="62">
        <f>_xlfn.IFNA(INDEX('[3]3.5.1'!$1:$104,MATCH(AP$4,'[3]3.5.1'!$A:$A,0),MATCH(Summary!$C45,'[3]3.5.1'!$1:$1,0)),"")</f>
        <v>197962.547</v>
      </c>
      <c r="AQ45" s="62"/>
      <c r="AR45" s="62"/>
      <c r="AS45" s="62" t="str">
        <f>_xlfn.IFNA(INDEX('[3]3.5.1'!$1:$104,MATCH(AS$4,'[3]3.5.1'!$A:$A,0),MATCH(Summary!$C45,'[3]3.5.1'!$1:$1,0)),"")</f>
        <v/>
      </c>
      <c r="AT45" s="62"/>
      <c r="AU45" s="62"/>
      <c r="AV45" s="62" t="str">
        <f>_xlfn.IFNA(INDEX('[3]3.5.1'!$1:$104,MATCH(AV$4,'[3]3.5.1'!$A:$A,0),MATCH(Summary!$C45,'[3]3.5.1'!$1:$1,0)),"")</f>
        <v/>
      </c>
      <c r="AW45" s="62"/>
      <c r="AX45" s="62"/>
      <c r="AY45" s="62">
        <f>_xlfn.IFNA(INDEX('[3]3.5.1'!$1:$104,MATCH(AY$4,'[3]3.5.1'!$A:$A,0),MATCH(Summary!$C45,'[3]3.5.1'!$1:$1,0)),"")</f>
        <v>202849.75</v>
      </c>
      <c r="AZ45" s="62"/>
      <c r="BA45" s="62"/>
      <c r="BB45" s="62">
        <f>_xlfn.IFNA(INDEX('[3]3.5.1'!$1:$104,MATCH(BB$4,'[3]3.5.1'!$A:$A,0),MATCH(Summary!$C45,'[3]3.5.1'!$1:$1,0)),"")</f>
        <v>183124.301</v>
      </c>
      <c r="BC45" s="62"/>
      <c r="BD45" s="62"/>
      <c r="BE45" s="62" t="str">
        <f>_xlfn.IFNA(INDEX('[3]3.5.1'!$1:$104,MATCH(BE$4,'[3]3.5.1'!$A:$A,0),MATCH(Summary!$C45,'[3]3.5.1'!$1:$1,0)),"")</f>
        <v/>
      </c>
      <c r="BF45" s="62"/>
      <c r="BG45" s="62"/>
      <c r="BH45" s="62" t="str">
        <f>_xlfn.IFNA(INDEX('[3]3.5.1'!$1:$104,MATCH(BH$4,'[3]3.5.1'!$A:$A,0),MATCH(Summary!$C45,'[3]3.5.1'!$1:$1,0)),"")</f>
        <v/>
      </c>
      <c r="BI45" s="62"/>
      <c r="BJ45" s="62"/>
      <c r="BK45" s="62" t="str">
        <f>_xlfn.IFNA(INDEX('[3]3.5.1'!$1:$104,MATCH(BK$4,'[3]3.5.1'!$A:$A,0),MATCH(Summary!$C45,'[3]3.5.1'!$1:$1,0)),"")</f>
        <v/>
      </c>
    </row>
    <row r="46" s="1" customFormat="1" ht="16.5" hidden="1" customHeight="1" outlineLevel="2" spans="1:63">
      <c r="A46" s="22"/>
      <c r="B46" s="22"/>
      <c r="C46" s="22" t="s">
        <v>476</v>
      </c>
      <c r="D46" s="42"/>
      <c r="E46" s="42"/>
      <c r="F46" s="57" t="s">
        <v>477</v>
      </c>
      <c r="G46" s="58" t="s">
        <v>478</v>
      </c>
      <c r="H46" s="45">
        <f t="shared" si="9"/>
        <v>0.00791083769053032</v>
      </c>
      <c r="I46" s="46" t="str">
        <f t="shared" si="10"/>
        <v/>
      </c>
      <c r="J46" s="47"/>
      <c r="K46" s="47"/>
      <c r="L46" s="47" t="str">
        <f>_xlfn.IFNA(INDEX('[3]3.5.1'!$1:$104,MATCH(L$4,'[3]3.5.1'!$A:$A,0),MATCH(Summary!$C46,'[3]3.5.1'!$1:$1,0)),"")</f>
        <v/>
      </c>
      <c r="M46" s="47"/>
      <c r="N46" s="47"/>
      <c r="O46" s="47">
        <f>_xlfn.IFNA(INDEX('[3]3.5.1'!$1:$104,MATCH(O$4,'[3]3.5.1'!$A:$A,0),MATCH(Summary!$C46,'[3]3.5.1'!$1:$1,0)),"")</f>
        <v>85341.292</v>
      </c>
      <c r="P46" s="47"/>
      <c r="Q46" s="47"/>
      <c r="R46" s="47" t="str">
        <f>_xlfn.IFNA(INDEX('[3]3.5.1'!$1:$104,MATCH(R$4,'[3]3.5.1'!$A:$A,0),MATCH(Summary!$C46,'[3]3.5.1'!$1:$1,0)),"")</f>
        <v/>
      </c>
      <c r="S46" s="47"/>
      <c r="T46" s="47"/>
      <c r="U46" s="47" t="str">
        <f>_xlfn.IFNA(INDEX('[3]3.5.1'!$1:$104,MATCH(U$4,'[3]3.5.1'!$A:$A,0),MATCH(Summary!$C46,'[3]3.5.1'!$1:$1,0)),"")</f>
        <v/>
      </c>
      <c r="V46" s="47"/>
      <c r="W46" s="47"/>
      <c r="X46" s="47">
        <f>_xlfn.IFNA(INDEX('[3]3.5.1'!$1:$104,MATCH(X$4,'[3]3.5.1'!$A:$A,0),MATCH(Summary!$C46,'[3]3.5.1'!$1:$1,0)),"")</f>
        <v>88620.095</v>
      </c>
      <c r="Y46" s="47"/>
      <c r="Z46" s="47"/>
      <c r="AA46" s="47" t="str">
        <f>_xlfn.IFNA(INDEX('[3]3.5.1'!$1:$104,MATCH(AA$4,'[3]3.5.1'!$A:$A,0),MATCH(Summary!$C46,'[3]3.5.1'!$1:$1,0)),"")</f>
        <v/>
      </c>
      <c r="AB46" s="47"/>
      <c r="AC46" s="47"/>
      <c r="AD46" s="47" t="str">
        <f>_xlfn.IFNA(INDEX('[3]3.5.1'!$1:$104,MATCH(AD$4,'[3]3.5.1'!$A:$A,0),MATCH(Summary!$C46,'[3]3.5.1'!$1:$1,0)),"")</f>
        <v/>
      </c>
      <c r="AE46" s="47"/>
      <c r="AF46" s="47"/>
      <c r="AG46" s="47">
        <f>_xlfn.IFNA(INDEX('[3]3.5.1'!$1:$104,MATCH(AG$4,'[3]3.5.1'!$A:$A,0),MATCH(Summary!$C46,'[3]3.5.1'!$1:$1,0)),"")</f>
        <v>78288.138</v>
      </c>
      <c r="AH46" s="47"/>
      <c r="AI46" s="47"/>
      <c r="AJ46" s="47" t="str">
        <f>_xlfn.IFNA(INDEX('[3]3.5.1'!$1:$104,MATCH(AJ$4,'[3]3.5.1'!$A:$A,0),MATCH(Summary!$C46,'[3]3.5.1'!$1:$1,0)),"")</f>
        <v/>
      </c>
      <c r="AK46" s="47"/>
      <c r="AL46" s="47"/>
      <c r="AM46" s="47" t="str">
        <f>_xlfn.IFNA(INDEX('[3]3.5.1'!$1:$104,MATCH(AM$4,'[3]3.5.1'!$A:$A,0),MATCH(Summary!$C46,'[3]3.5.1'!$1:$1,0)),"")</f>
        <v/>
      </c>
      <c r="AN46" s="47"/>
      <c r="AO46" s="47"/>
      <c r="AP46" s="47">
        <f>_xlfn.IFNA(INDEX('[3]3.5.1'!$1:$104,MATCH(AP$4,'[3]3.5.1'!$A:$A,0),MATCH(Summary!$C46,'[3]3.5.1'!$1:$1,0)),"")</f>
        <v>83789.733</v>
      </c>
      <c r="AQ46" s="47"/>
      <c r="AR46" s="47"/>
      <c r="AS46" s="47" t="str">
        <f>_xlfn.IFNA(INDEX('[3]3.5.1'!$1:$104,MATCH(AS$4,'[3]3.5.1'!$A:$A,0),MATCH(Summary!$C46,'[3]3.5.1'!$1:$1,0)),"")</f>
        <v/>
      </c>
      <c r="AT46" s="47"/>
      <c r="AU46" s="47"/>
      <c r="AV46" s="47" t="str">
        <f>_xlfn.IFNA(INDEX('[3]3.5.1'!$1:$104,MATCH(AV$4,'[3]3.5.1'!$A:$A,0),MATCH(Summary!$C46,'[3]3.5.1'!$1:$1,0)),"")</f>
        <v/>
      </c>
      <c r="AW46" s="47"/>
      <c r="AX46" s="47"/>
      <c r="AY46" s="47">
        <f>_xlfn.IFNA(INDEX('[3]3.5.1'!$1:$104,MATCH(AY$4,'[3]3.5.1'!$A:$A,0),MATCH(Summary!$C46,'[3]3.5.1'!$1:$1,0)),"")</f>
        <v>79662.793</v>
      </c>
      <c r="AZ46" s="47"/>
      <c r="BA46" s="47"/>
      <c r="BB46" s="47">
        <f>_xlfn.IFNA(INDEX('[3]3.5.1'!$1:$104,MATCH(BB$4,'[3]3.5.1'!$A:$A,0),MATCH(Summary!$C46,'[3]3.5.1'!$1:$1,0)),"")</f>
        <v>65267.46</v>
      </c>
      <c r="BC46" s="47"/>
      <c r="BD46" s="47"/>
      <c r="BE46" s="47" t="str">
        <f>_xlfn.IFNA(INDEX('[3]3.5.1'!$1:$104,MATCH(BE$4,'[3]3.5.1'!$A:$A,0),MATCH(Summary!$C46,'[3]3.5.1'!$1:$1,0)),"")</f>
        <v/>
      </c>
      <c r="BF46" s="47"/>
      <c r="BG46" s="47"/>
      <c r="BH46" s="47" t="str">
        <f>_xlfn.IFNA(INDEX('[3]3.5.1'!$1:$104,MATCH(BH$4,'[3]3.5.1'!$A:$A,0),MATCH(Summary!$C46,'[3]3.5.1'!$1:$1,0)),"")</f>
        <v/>
      </c>
      <c r="BI46" s="47"/>
      <c r="BJ46" s="47"/>
      <c r="BK46" s="47" t="str">
        <f>_xlfn.IFNA(INDEX('[3]3.5.1'!$1:$104,MATCH(BK$4,'[3]3.5.1'!$A:$A,0),MATCH(Summary!$C46,'[3]3.5.1'!$1:$1,0)),"")</f>
        <v/>
      </c>
    </row>
    <row r="47" s="1" customFormat="1" ht="16.5" hidden="1" customHeight="1" outlineLevel="2" spans="1:63">
      <c r="A47" s="22"/>
      <c r="B47" s="22"/>
      <c r="C47" s="22" t="s">
        <v>479</v>
      </c>
      <c r="D47" s="42"/>
      <c r="E47" s="42"/>
      <c r="F47" s="57" t="s">
        <v>480</v>
      </c>
      <c r="G47" s="58" t="s">
        <v>221</v>
      </c>
      <c r="H47" s="45">
        <f t="shared" si="9"/>
        <v>0.0132812397176425</v>
      </c>
      <c r="I47" s="46" t="str">
        <f t="shared" si="10"/>
        <v/>
      </c>
      <c r="J47" s="47"/>
      <c r="K47" s="47"/>
      <c r="L47" s="47" t="str">
        <f>_xlfn.IFNA(INDEX('[3]3.5.1'!$1:$104,MATCH(L$4,'[3]3.5.1'!$A:$A,0),MATCH(Summary!$C47,'[3]3.5.1'!$1:$1,0)),"")</f>
        <v/>
      </c>
      <c r="M47" s="47"/>
      <c r="N47" s="47"/>
      <c r="O47" s="47">
        <f>_xlfn.IFNA(INDEX('[3]3.5.1'!$1:$104,MATCH(O$4,'[3]3.5.1'!$A:$A,0),MATCH(Summary!$C47,'[3]3.5.1'!$1:$1,0)),"")</f>
        <v>143276.629</v>
      </c>
      <c r="P47" s="47"/>
      <c r="Q47" s="47"/>
      <c r="R47" s="47" t="str">
        <f>_xlfn.IFNA(INDEX('[3]3.5.1'!$1:$104,MATCH(R$4,'[3]3.5.1'!$A:$A,0),MATCH(Summary!$C47,'[3]3.5.1'!$1:$1,0)),"")</f>
        <v/>
      </c>
      <c r="S47" s="47"/>
      <c r="T47" s="47"/>
      <c r="U47" s="47" t="str">
        <f>_xlfn.IFNA(INDEX('[3]3.5.1'!$1:$104,MATCH(U$4,'[3]3.5.1'!$A:$A,0),MATCH(Summary!$C47,'[3]3.5.1'!$1:$1,0)),"")</f>
        <v/>
      </c>
      <c r="V47" s="47"/>
      <c r="W47" s="47"/>
      <c r="X47" s="47">
        <f>_xlfn.IFNA(INDEX('[3]3.5.1'!$1:$104,MATCH(X$4,'[3]3.5.1'!$A:$A,0),MATCH(Summary!$C47,'[3]3.5.1'!$1:$1,0)),"")</f>
        <v>127254.891</v>
      </c>
      <c r="Y47" s="47"/>
      <c r="Z47" s="47"/>
      <c r="AA47" s="47" t="str">
        <f>_xlfn.IFNA(INDEX('[3]3.5.1'!$1:$104,MATCH(AA$4,'[3]3.5.1'!$A:$A,0),MATCH(Summary!$C47,'[3]3.5.1'!$1:$1,0)),"")</f>
        <v/>
      </c>
      <c r="AB47" s="47"/>
      <c r="AC47" s="47"/>
      <c r="AD47" s="47" t="str">
        <f>_xlfn.IFNA(INDEX('[3]3.5.1'!$1:$104,MATCH(AD$4,'[3]3.5.1'!$A:$A,0),MATCH(Summary!$C47,'[3]3.5.1'!$1:$1,0)),"")</f>
        <v/>
      </c>
      <c r="AE47" s="47"/>
      <c r="AF47" s="47"/>
      <c r="AG47" s="47">
        <f>_xlfn.IFNA(INDEX('[3]3.5.1'!$1:$104,MATCH(AG$4,'[3]3.5.1'!$A:$A,0),MATCH(Summary!$C47,'[3]3.5.1'!$1:$1,0)),"")</f>
        <v>124771.514</v>
      </c>
      <c r="AH47" s="47"/>
      <c r="AI47" s="47"/>
      <c r="AJ47" s="47" t="str">
        <f>_xlfn.IFNA(INDEX('[3]3.5.1'!$1:$104,MATCH(AJ$4,'[3]3.5.1'!$A:$A,0),MATCH(Summary!$C47,'[3]3.5.1'!$1:$1,0)),"")</f>
        <v/>
      </c>
      <c r="AK47" s="47"/>
      <c r="AL47" s="47"/>
      <c r="AM47" s="47" t="str">
        <f>_xlfn.IFNA(INDEX('[3]3.5.1'!$1:$104,MATCH(AM$4,'[3]3.5.1'!$A:$A,0),MATCH(Summary!$C47,'[3]3.5.1'!$1:$1,0)),"")</f>
        <v/>
      </c>
      <c r="AN47" s="47"/>
      <c r="AO47" s="47"/>
      <c r="AP47" s="47">
        <f>_xlfn.IFNA(INDEX('[3]3.5.1'!$1:$104,MATCH(AP$4,'[3]3.5.1'!$A:$A,0),MATCH(Summary!$C47,'[3]3.5.1'!$1:$1,0)),"")</f>
        <v>114172.814</v>
      </c>
      <c r="AQ47" s="47"/>
      <c r="AR47" s="47"/>
      <c r="AS47" s="47" t="str">
        <f>_xlfn.IFNA(INDEX('[3]3.5.1'!$1:$104,MATCH(AS$4,'[3]3.5.1'!$A:$A,0),MATCH(Summary!$C47,'[3]3.5.1'!$1:$1,0)),"")</f>
        <v/>
      </c>
      <c r="AT47" s="47"/>
      <c r="AU47" s="47"/>
      <c r="AV47" s="47" t="str">
        <f>_xlfn.IFNA(INDEX('[3]3.5.1'!$1:$104,MATCH(AV$4,'[3]3.5.1'!$A:$A,0),MATCH(Summary!$C47,'[3]3.5.1'!$1:$1,0)),"")</f>
        <v/>
      </c>
      <c r="AW47" s="47"/>
      <c r="AX47" s="47"/>
      <c r="AY47" s="47">
        <f>_xlfn.IFNA(INDEX('[3]3.5.1'!$1:$104,MATCH(AY$4,'[3]3.5.1'!$A:$A,0),MATCH(Summary!$C47,'[3]3.5.1'!$1:$1,0)),"")</f>
        <v>123186.957</v>
      </c>
      <c r="AZ47" s="47"/>
      <c r="BA47" s="47"/>
      <c r="BB47" s="47">
        <f>_xlfn.IFNA(INDEX('[3]3.5.1'!$1:$104,MATCH(BB$4,'[3]3.5.1'!$A:$A,0),MATCH(Summary!$C47,'[3]3.5.1'!$1:$1,0)),"")</f>
        <v>117856.841</v>
      </c>
      <c r="BC47" s="47"/>
      <c r="BD47" s="47"/>
      <c r="BE47" s="47" t="str">
        <f>_xlfn.IFNA(INDEX('[3]3.5.1'!$1:$104,MATCH(BE$4,'[3]3.5.1'!$A:$A,0),MATCH(Summary!$C47,'[3]3.5.1'!$1:$1,0)),"")</f>
        <v/>
      </c>
      <c r="BF47" s="47"/>
      <c r="BG47" s="47"/>
      <c r="BH47" s="47" t="str">
        <f>_xlfn.IFNA(INDEX('[3]3.5.1'!$1:$104,MATCH(BH$4,'[3]3.5.1'!$A:$A,0),MATCH(Summary!$C47,'[3]3.5.1'!$1:$1,0)),"")</f>
        <v/>
      </c>
      <c r="BI47" s="47"/>
      <c r="BJ47" s="47"/>
      <c r="BK47" s="47" t="str">
        <f>_xlfn.IFNA(INDEX('[3]3.5.1'!$1:$104,MATCH(BK$4,'[3]3.5.1'!$A:$A,0),MATCH(Summary!$C47,'[3]3.5.1'!$1:$1,0)),"")</f>
        <v/>
      </c>
    </row>
    <row r="48" s="1" customFormat="1" ht="16.5" customHeight="1" outlineLevel="1" collapsed="1" spans="1:63">
      <c r="A48" s="22"/>
      <c r="B48" s="22"/>
      <c r="C48" s="22" t="s">
        <v>481</v>
      </c>
      <c r="D48" s="59"/>
      <c r="E48" s="59"/>
      <c r="F48" s="59" t="s">
        <v>482</v>
      </c>
      <c r="G48" s="59" t="s">
        <v>483</v>
      </c>
      <c r="H48" s="60">
        <f t="shared" si="9"/>
        <v>0.12844609087745</v>
      </c>
      <c r="I48" s="61" t="str">
        <f t="shared" si="10"/>
        <v/>
      </c>
      <c r="J48" s="62"/>
      <c r="K48" s="62"/>
      <c r="L48" s="62" t="str">
        <f>_xlfn.IFNA(INDEX('[3]3.5.1'!$1:$104,MATCH(L$4,'[3]3.5.1'!$A:$A,0),MATCH(Summary!$C48,'[3]3.5.1'!$1:$1,0)),"")</f>
        <v/>
      </c>
      <c r="M48" s="62"/>
      <c r="N48" s="62"/>
      <c r="O48" s="62">
        <f>_xlfn.IFNA(INDEX('[3]3.5.1'!$1:$104,MATCH(O$4,'[3]3.5.1'!$A:$A,0),MATCH(Summary!$C48,'[3]3.5.1'!$1:$1,0)),"")</f>
        <v>1385663.033</v>
      </c>
      <c r="P48" s="62"/>
      <c r="Q48" s="62"/>
      <c r="R48" s="62" t="str">
        <f>_xlfn.IFNA(INDEX('[3]3.5.1'!$1:$104,MATCH(R$4,'[3]3.5.1'!$A:$A,0),MATCH(Summary!$C48,'[3]3.5.1'!$1:$1,0)),"")</f>
        <v/>
      </c>
      <c r="S48" s="62"/>
      <c r="T48" s="62"/>
      <c r="U48" s="62" t="str">
        <f>_xlfn.IFNA(INDEX('[3]3.5.1'!$1:$104,MATCH(U$4,'[3]3.5.1'!$A:$A,0),MATCH(Summary!$C48,'[3]3.5.1'!$1:$1,0)),"")</f>
        <v/>
      </c>
      <c r="V48" s="62"/>
      <c r="W48" s="62"/>
      <c r="X48" s="62">
        <f>_xlfn.IFNA(INDEX('[3]3.5.1'!$1:$104,MATCH(X$4,'[3]3.5.1'!$A:$A,0),MATCH(Summary!$C48,'[3]3.5.1'!$1:$1,0)),"")</f>
        <v>1405132.709</v>
      </c>
      <c r="Y48" s="62"/>
      <c r="Z48" s="62"/>
      <c r="AA48" s="62" t="str">
        <f>_xlfn.IFNA(INDEX('[3]3.5.1'!$1:$104,MATCH(AA$4,'[3]3.5.1'!$A:$A,0),MATCH(Summary!$C48,'[3]3.5.1'!$1:$1,0)),"")</f>
        <v/>
      </c>
      <c r="AB48" s="62"/>
      <c r="AC48" s="62"/>
      <c r="AD48" s="62" t="str">
        <f>_xlfn.IFNA(INDEX('[3]3.5.1'!$1:$104,MATCH(AD$4,'[3]3.5.1'!$A:$A,0),MATCH(Summary!$C48,'[3]3.5.1'!$1:$1,0)),"")</f>
        <v/>
      </c>
      <c r="AE48" s="62"/>
      <c r="AF48" s="62"/>
      <c r="AG48" s="62">
        <f>_xlfn.IFNA(INDEX('[3]3.5.1'!$1:$104,MATCH(AG$4,'[3]3.5.1'!$A:$A,0),MATCH(Summary!$C48,'[3]3.5.1'!$1:$1,0)),"")</f>
        <v>1437648.757</v>
      </c>
      <c r="AH48" s="62"/>
      <c r="AI48" s="62"/>
      <c r="AJ48" s="62" t="str">
        <f>_xlfn.IFNA(INDEX('[3]3.5.1'!$1:$104,MATCH(AJ$4,'[3]3.5.1'!$A:$A,0),MATCH(Summary!$C48,'[3]3.5.1'!$1:$1,0)),"")</f>
        <v/>
      </c>
      <c r="AK48" s="62"/>
      <c r="AL48" s="62"/>
      <c r="AM48" s="62" t="str">
        <f>_xlfn.IFNA(INDEX('[3]3.5.1'!$1:$104,MATCH(AM$4,'[3]3.5.1'!$A:$A,0),MATCH(Summary!$C48,'[3]3.5.1'!$1:$1,0)),"")</f>
        <v/>
      </c>
      <c r="AN48" s="62"/>
      <c r="AO48" s="62"/>
      <c r="AP48" s="62">
        <f>_xlfn.IFNA(INDEX('[3]3.5.1'!$1:$104,MATCH(AP$4,'[3]3.5.1'!$A:$A,0),MATCH(Summary!$C48,'[3]3.5.1'!$1:$1,0)),"")</f>
        <v>1458963.959</v>
      </c>
      <c r="AQ48" s="62"/>
      <c r="AR48" s="62"/>
      <c r="AS48" s="62" t="str">
        <f>_xlfn.IFNA(INDEX('[3]3.5.1'!$1:$104,MATCH(AS$4,'[3]3.5.1'!$A:$A,0),MATCH(Summary!$C48,'[3]3.5.1'!$1:$1,0)),"")</f>
        <v/>
      </c>
      <c r="AT48" s="62"/>
      <c r="AU48" s="62"/>
      <c r="AV48" s="62" t="str">
        <f>_xlfn.IFNA(INDEX('[3]3.5.1'!$1:$104,MATCH(AV$4,'[3]3.5.1'!$A:$A,0),MATCH(Summary!$C48,'[3]3.5.1'!$1:$1,0)),"")</f>
        <v/>
      </c>
      <c r="AW48" s="62"/>
      <c r="AX48" s="62"/>
      <c r="AY48" s="62">
        <f>_xlfn.IFNA(INDEX('[3]3.5.1'!$1:$104,MATCH(AY$4,'[3]3.5.1'!$A:$A,0),MATCH(Summary!$C48,'[3]3.5.1'!$1:$1,0)),"")</f>
        <v>1507238.405</v>
      </c>
      <c r="AZ48" s="62"/>
      <c r="BA48" s="62"/>
      <c r="BB48" s="62">
        <f>_xlfn.IFNA(INDEX('[3]3.5.1'!$1:$104,MATCH(BB$4,'[3]3.5.1'!$A:$A,0),MATCH(Summary!$C48,'[3]3.5.1'!$1:$1,0)),"")</f>
        <v>1552482.093</v>
      </c>
      <c r="BC48" s="62"/>
      <c r="BD48" s="62"/>
      <c r="BE48" s="62" t="str">
        <f>_xlfn.IFNA(INDEX('[3]3.5.1'!$1:$104,MATCH(BE$4,'[3]3.5.1'!$A:$A,0),MATCH(Summary!$C48,'[3]3.5.1'!$1:$1,0)),"")</f>
        <v/>
      </c>
      <c r="BF48" s="62"/>
      <c r="BG48" s="62"/>
      <c r="BH48" s="62" t="str">
        <f>_xlfn.IFNA(INDEX('[3]3.5.1'!$1:$104,MATCH(BH$4,'[3]3.5.1'!$A:$A,0),MATCH(Summary!$C48,'[3]3.5.1'!$1:$1,0)),"")</f>
        <v/>
      </c>
      <c r="BI48" s="62"/>
      <c r="BJ48" s="62"/>
      <c r="BK48" s="62" t="str">
        <f>_xlfn.IFNA(INDEX('[3]3.5.1'!$1:$104,MATCH(BK$4,'[3]3.5.1'!$A:$A,0),MATCH(Summary!$C48,'[3]3.5.1'!$1:$1,0)),"")</f>
        <v/>
      </c>
    </row>
    <row r="49" s="2" customFormat="1" ht="16.5" customHeight="1" outlineLevel="1" spans="1:63">
      <c r="A49" s="22"/>
      <c r="B49" s="22"/>
      <c r="C49" s="22" t="s">
        <v>484</v>
      </c>
      <c r="D49" s="37"/>
      <c r="E49" s="37"/>
      <c r="F49" s="38" t="s">
        <v>485</v>
      </c>
      <c r="G49" s="38" t="s">
        <v>486</v>
      </c>
      <c r="H49" s="39">
        <f t="shared" si="9"/>
        <v>0.12179333941266</v>
      </c>
      <c r="I49" s="40" t="str">
        <f t="shared" si="10"/>
        <v/>
      </c>
      <c r="J49" s="41"/>
      <c r="K49" s="41"/>
      <c r="L49" s="41" t="str">
        <f>_xlfn.IFNA(INDEX('[3]3.5.1'!$1:$104,MATCH(L$4,'[3]3.5.1'!$A:$A,0),MATCH(Summary!$C49,'[3]3.5.1'!$1:$1,0)),"")</f>
        <v/>
      </c>
      <c r="M49" s="41"/>
      <c r="N49" s="41"/>
      <c r="O49" s="41">
        <f>_xlfn.IFNA(INDEX('[3]3.5.1'!$1:$104,MATCH(O$4,'[3]3.5.1'!$A:$A,0),MATCH(Summary!$C49,'[3]3.5.1'!$1:$1,0)),"")</f>
        <v>1313893.844</v>
      </c>
      <c r="P49" s="41"/>
      <c r="Q49" s="41"/>
      <c r="R49" s="41" t="str">
        <f>_xlfn.IFNA(INDEX('[3]3.5.1'!$1:$104,MATCH(R$4,'[3]3.5.1'!$A:$A,0),MATCH(Summary!$C49,'[3]3.5.1'!$1:$1,0)),"")</f>
        <v/>
      </c>
      <c r="S49" s="41"/>
      <c r="T49" s="41"/>
      <c r="U49" s="41" t="str">
        <f>_xlfn.IFNA(INDEX('[3]3.5.1'!$1:$104,MATCH(U$4,'[3]3.5.1'!$A:$A,0),MATCH(Summary!$C49,'[3]3.5.1'!$1:$1,0)),"")</f>
        <v/>
      </c>
      <c r="V49" s="41"/>
      <c r="W49" s="41"/>
      <c r="X49" s="41">
        <f>_xlfn.IFNA(INDEX('[3]3.5.1'!$1:$104,MATCH(X$4,'[3]3.5.1'!$A:$A,0),MATCH(Summary!$C49,'[3]3.5.1'!$1:$1,0)),"")</f>
        <v>1339249.189</v>
      </c>
      <c r="Y49" s="41"/>
      <c r="Z49" s="41"/>
      <c r="AA49" s="41" t="str">
        <f>_xlfn.IFNA(INDEX('[3]3.5.1'!$1:$104,MATCH(AA$4,'[3]3.5.1'!$A:$A,0),MATCH(Summary!$C49,'[3]3.5.1'!$1:$1,0)),"")</f>
        <v/>
      </c>
      <c r="AB49" s="41"/>
      <c r="AC49" s="41"/>
      <c r="AD49" s="41" t="str">
        <f>_xlfn.IFNA(INDEX('[3]3.5.1'!$1:$104,MATCH(AD$4,'[3]3.5.1'!$A:$A,0),MATCH(Summary!$C49,'[3]3.5.1'!$1:$1,0)),"")</f>
        <v/>
      </c>
      <c r="AE49" s="41"/>
      <c r="AF49" s="41"/>
      <c r="AG49" s="41">
        <f>_xlfn.IFNA(INDEX('[3]3.5.1'!$1:$104,MATCH(AG$4,'[3]3.5.1'!$A:$A,0),MATCH(Summary!$C49,'[3]3.5.1'!$1:$1,0)),"")</f>
        <v>1372331.133</v>
      </c>
      <c r="AH49" s="41"/>
      <c r="AI49" s="41"/>
      <c r="AJ49" s="41" t="str">
        <f>_xlfn.IFNA(INDEX('[3]3.5.1'!$1:$104,MATCH(AJ$4,'[3]3.5.1'!$A:$A,0),MATCH(Summary!$C49,'[3]3.5.1'!$1:$1,0)),"")</f>
        <v/>
      </c>
      <c r="AK49" s="41"/>
      <c r="AL49" s="41"/>
      <c r="AM49" s="41" t="str">
        <f>_xlfn.IFNA(INDEX('[3]3.5.1'!$1:$104,MATCH(AM$4,'[3]3.5.1'!$A:$A,0),MATCH(Summary!$C49,'[3]3.5.1'!$1:$1,0)),"")</f>
        <v/>
      </c>
      <c r="AN49" s="41"/>
      <c r="AO49" s="41"/>
      <c r="AP49" s="41">
        <f>_xlfn.IFNA(INDEX('[3]3.5.1'!$1:$104,MATCH(AP$4,'[3]3.5.1'!$A:$A,0),MATCH(Summary!$C49,'[3]3.5.1'!$1:$1,0)),"")</f>
        <v>1388210.989</v>
      </c>
      <c r="AQ49" s="41"/>
      <c r="AR49" s="41"/>
      <c r="AS49" s="41" t="str">
        <f>_xlfn.IFNA(INDEX('[3]3.5.1'!$1:$104,MATCH(AS$4,'[3]3.5.1'!$A:$A,0),MATCH(Summary!$C49,'[3]3.5.1'!$1:$1,0)),"")</f>
        <v/>
      </c>
      <c r="AT49" s="41"/>
      <c r="AU49" s="41"/>
      <c r="AV49" s="41" t="str">
        <f>_xlfn.IFNA(INDEX('[3]3.5.1'!$1:$104,MATCH(AV$4,'[3]3.5.1'!$A:$A,0),MATCH(Summary!$C49,'[3]3.5.1'!$1:$1,0)),"")</f>
        <v/>
      </c>
      <c r="AW49" s="41"/>
      <c r="AX49" s="41"/>
      <c r="AY49" s="41">
        <f>_xlfn.IFNA(INDEX('[3]3.5.1'!$1:$104,MATCH(AY$4,'[3]3.5.1'!$A:$A,0),MATCH(Summary!$C49,'[3]3.5.1'!$1:$1,0)),"")</f>
        <v>1445796.326</v>
      </c>
      <c r="AZ49" s="41"/>
      <c r="BA49" s="41"/>
      <c r="BB49" s="41">
        <f>_xlfn.IFNA(INDEX('[3]3.5.1'!$1:$104,MATCH(BB$4,'[3]3.5.1'!$A:$A,0),MATCH(Summary!$C49,'[3]3.5.1'!$1:$1,0)),"")</f>
        <v>1488357.512</v>
      </c>
      <c r="BC49" s="41"/>
      <c r="BD49" s="41"/>
      <c r="BE49" s="41" t="str">
        <f>_xlfn.IFNA(INDEX('[3]3.5.1'!$1:$104,MATCH(BE$4,'[3]3.5.1'!$A:$A,0),MATCH(Summary!$C49,'[3]3.5.1'!$1:$1,0)),"")</f>
        <v/>
      </c>
      <c r="BF49" s="41"/>
      <c r="BG49" s="41"/>
      <c r="BH49" s="41" t="str">
        <f>_xlfn.IFNA(INDEX('[3]3.5.1'!$1:$104,MATCH(BH$4,'[3]3.5.1'!$A:$A,0),MATCH(Summary!$C49,'[3]3.5.1'!$1:$1,0)),"")</f>
        <v/>
      </c>
      <c r="BI49" s="41"/>
      <c r="BJ49" s="41"/>
      <c r="BK49" s="41" t="str">
        <f>_xlfn.IFNA(INDEX('[3]3.5.1'!$1:$104,MATCH(BK$4,'[3]3.5.1'!$A:$A,0),MATCH(Summary!$C49,'[3]3.5.1'!$1:$1,0)),"")</f>
        <v/>
      </c>
    </row>
    <row r="50" s="1" customFormat="1" ht="16.5" customHeight="1" outlineLevel="1" spans="1:63">
      <c r="A50" s="22"/>
      <c r="B50" s="22"/>
      <c r="C50" s="22" t="s">
        <v>487</v>
      </c>
      <c r="D50" s="42"/>
      <c r="E50" s="42"/>
      <c r="F50" s="42" t="s">
        <v>488</v>
      </c>
      <c r="G50" s="44" t="s">
        <v>489</v>
      </c>
      <c r="H50" s="45">
        <f t="shared" si="9"/>
        <v>0.00638485528956141</v>
      </c>
      <c r="I50" s="46" t="str">
        <f t="shared" si="10"/>
        <v/>
      </c>
      <c r="J50" s="47"/>
      <c r="K50" s="47"/>
      <c r="L50" s="47" t="str">
        <f>_xlfn.IFNA(INDEX('[3]3.5.1'!$1:$104,MATCH(L$4,'[3]3.5.1'!$A:$A,0),MATCH(Summary!$C50,'[3]3.5.1'!$1:$1,0)),"")</f>
        <v/>
      </c>
      <c r="M50" s="47"/>
      <c r="N50" s="47"/>
      <c r="O50" s="47">
        <f>_xlfn.IFNA(INDEX('[3]3.5.1'!$1:$104,MATCH(O$4,'[3]3.5.1'!$A:$A,0),MATCH(Summary!$C50,'[3]3.5.1'!$1:$1,0)),"")</f>
        <v>68879.153</v>
      </c>
      <c r="P50" s="47"/>
      <c r="Q50" s="47"/>
      <c r="R50" s="47" t="str">
        <f>_xlfn.IFNA(INDEX('[3]3.5.1'!$1:$104,MATCH(R$4,'[3]3.5.1'!$A:$A,0),MATCH(Summary!$C50,'[3]3.5.1'!$1:$1,0)),"")</f>
        <v/>
      </c>
      <c r="S50" s="47"/>
      <c r="T50" s="47"/>
      <c r="U50" s="47" t="str">
        <f>_xlfn.IFNA(INDEX('[3]3.5.1'!$1:$104,MATCH(U$4,'[3]3.5.1'!$A:$A,0),MATCH(Summary!$C50,'[3]3.5.1'!$1:$1,0)),"")</f>
        <v/>
      </c>
      <c r="V50" s="47"/>
      <c r="W50" s="47"/>
      <c r="X50" s="47">
        <f>_xlfn.IFNA(INDEX('[3]3.5.1'!$1:$104,MATCH(X$4,'[3]3.5.1'!$A:$A,0),MATCH(Summary!$C50,'[3]3.5.1'!$1:$1,0)),"")</f>
        <v>70240.539</v>
      </c>
      <c r="Y50" s="47"/>
      <c r="Z50" s="47"/>
      <c r="AA50" s="47" t="str">
        <f>_xlfn.IFNA(INDEX('[3]3.5.1'!$1:$104,MATCH(AA$4,'[3]3.5.1'!$A:$A,0),MATCH(Summary!$C50,'[3]3.5.1'!$1:$1,0)),"")</f>
        <v/>
      </c>
      <c r="AB50" s="47"/>
      <c r="AC50" s="47"/>
      <c r="AD50" s="47" t="str">
        <f>_xlfn.IFNA(INDEX('[3]3.5.1'!$1:$104,MATCH(AD$4,'[3]3.5.1'!$A:$A,0),MATCH(Summary!$C50,'[3]3.5.1'!$1:$1,0)),"")</f>
        <v/>
      </c>
      <c r="AE50" s="47"/>
      <c r="AF50" s="47"/>
      <c r="AG50" s="47">
        <f>_xlfn.IFNA(INDEX('[3]3.5.1'!$1:$104,MATCH(AG$4,'[3]3.5.1'!$A:$A,0),MATCH(Summary!$C50,'[3]3.5.1'!$1:$1,0)),"")</f>
        <v>71745.791</v>
      </c>
      <c r="AH50" s="47"/>
      <c r="AI50" s="47"/>
      <c r="AJ50" s="47" t="str">
        <f>_xlfn.IFNA(INDEX('[3]3.5.1'!$1:$104,MATCH(AJ$4,'[3]3.5.1'!$A:$A,0),MATCH(Summary!$C50,'[3]3.5.1'!$1:$1,0)),"")</f>
        <v/>
      </c>
      <c r="AK50" s="47"/>
      <c r="AL50" s="47"/>
      <c r="AM50" s="47" t="str">
        <f>_xlfn.IFNA(INDEX('[3]3.5.1'!$1:$104,MATCH(AM$4,'[3]3.5.1'!$A:$A,0),MATCH(Summary!$C50,'[3]3.5.1'!$1:$1,0)),"")</f>
        <v/>
      </c>
      <c r="AN50" s="47"/>
      <c r="AO50" s="47"/>
      <c r="AP50" s="47">
        <f>_xlfn.IFNA(INDEX('[3]3.5.1'!$1:$104,MATCH(AP$4,'[3]3.5.1'!$A:$A,0),MATCH(Summary!$C50,'[3]3.5.1'!$1:$1,0)),"")</f>
        <v>71564.501</v>
      </c>
      <c r="AQ50" s="47"/>
      <c r="AR50" s="47"/>
      <c r="AS50" s="47" t="str">
        <f>_xlfn.IFNA(INDEX('[3]3.5.1'!$1:$104,MATCH(AS$4,'[3]3.5.1'!$A:$A,0),MATCH(Summary!$C50,'[3]3.5.1'!$1:$1,0)),"")</f>
        <v/>
      </c>
      <c r="AT50" s="47"/>
      <c r="AU50" s="47"/>
      <c r="AV50" s="47" t="str">
        <f>_xlfn.IFNA(INDEX('[3]3.5.1'!$1:$104,MATCH(AV$4,'[3]3.5.1'!$A:$A,0),MATCH(Summary!$C50,'[3]3.5.1'!$1:$1,0)),"")</f>
        <v/>
      </c>
      <c r="AW50" s="47"/>
      <c r="AX50" s="47"/>
      <c r="AY50" s="47">
        <f>_xlfn.IFNA(INDEX('[3]3.5.1'!$1:$104,MATCH(AY$4,'[3]3.5.1'!$A:$A,0),MATCH(Summary!$C50,'[3]3.5.1'!$1:$1,0)),"")</f>
        <v>71888.765</v>
      </c>
      <c r="AZ50" s="47"/>
      <c r="BA50" s="47"/>
      <c r="BB50" s="47">
        <f>_xlfn.IFNA(INDEX('[3]3.5.1'!$1:$104,MATCH(BB$4,'[3]3.5.1'!$A:$A,0),MATCH(Summary!$C50,'[3]3.5.1'!$1:$1,0)),"")</f>
        <v>73944.409</v>
      </c>
      <c r="BC50" s="47"/>
      <c r="BD50" s="47"/>
      <c r="BE50" s="47" t="str">
        <f>_xlfn.IFNA(INDEX('[3]3.5.1'!$1:$104,MATCH(BE$4,'[3]3.5.1'!$A:$A,0),MATCH(Summary!$C50,'[3]3.5.1'!$1:$1,0)),"")</f>
        <v/>
      </c>
      <c r="BF50" s="47"/>
      <c r="BG50" s="47"/>
      <c r="BH50" s="47" t="str">
        <f>_xlfn.IFNA(INDEX('[3]3.5.1'!$1:$104,MATCH(BH$4,'[3]3.5.1'!$A:$A,0),MATCH(Summary!$C50,'[3]3.5.1'!$1:$1,0)),"")</f>
        <v/>
      </c>
      <c r="BI50" s="47"/>
      <c r="BJ50" s="47"/>
      <c r="BK50" s="47" t="str">
        <f>_xlfn.IFNA(INDEX('[3]3.5.1'!$1:$104,MATCH(BK$4,'[3]3.5.1'!$A:$A,0),MATCH(Summary!$C50,'[3]3.5.1'!$1:$1,0)),"")</f>
        <v/>
      </c>
    </row>
    <row r="51" s="1" customFormat="1" ht="16.5" customHeight="1" outlineLevel="1" spans="1:63">
      <c r="A51" s="22"/>
      <c r="B51" s="22"/>
      <c r="C51" s="22" t="s">
        <v>490</v>
      </c>
      <c r="D51" s="42"/>
      <c r="E51" s="42"/>
      <c r="F51" s="42" t="s">
        <v>491</v>
      </c>
      <c r="G51" s="44" t="s">
        <v>492</v>
      </c>
      <c r="H51" s="45">
        <f t="shared" si="9"/>
        <v>0.0485049295960417</v>
      </c>
      <c r="I51" s="46" t="str">
        <f t="shared" si="10"/>
        <v/>
      </c>
      <c r="J51" s="47"/>
      <c r="K51" s="47"/>
      <c r="L51" s="47" t="str">
        <f>_xlfn.IFNA(INDEX('[3]3.5.1'!$1:$104,MATCH(L$4,'[3]3.5.1'!$A:$A,0),MATCH(Summary!$C51,'[3]3.5.1'!$1:$1,0)),"")</f>
        <v/>
      </c>
      <c r="M51" s="47"/>
      <c r="N51" s="47"/>
      <c r="O51" s="47">
        <f>_xlfn.IFNA(INDEX('[3]3.5.1'!$1:$104,MATCH(O$4,'[3]3.5.1'!$A:$A,0),MATCH(Summary!$C51,'[3]3.5.1'!$1:$1,0)),"")</f>
        <v>523266.122</v>
      </c>
      <c r="P51" s="47"/>
      <c r="Q51" s="47"/>
      <c r="R51" s="47" t="str">
        <f>_xlfn.IFNA(INDEX('[3]3.5.1'!$1:$104,MATCH(R$4,'[3]3.5.1'!$A:$A,0),MATCH(Summary!$C51,'[3]3.5.1'!$1:$1,0)),"")</f>
        <v/>
      </c>
      <c r="S51" s="47"/>
      <c r="T51" s="47"/>
      <c r="U51" s="47" t="str">
        <f>_xlfn.IFNA(INDEX('[3]3.5.1'!$1:$104,MATCH(U$4,'[3]3.5.1'!$A:$A,0),MATCH(Summary!$C51,'[3]3.5.1'!$1:$1,0)),"")</f>
        <v/>
      </c>
      <c r="V51" s="47"/>
      <c r="W51" s="47"/>
      <c r="X51" s="47">
        <f>_xlfn.IFNA(INDEX('[3]3.5.1'!$1:$104,MATCH(X$4,'[3]3.5.1'!$A:$A,0),MATCH(Summary!$C51,'[3]3.5.1'!$1:$1,0)),"")</f>
        <v>532245.948</v>
      </c>
      <c r="Y51" s="47"/>
      <c r="Z51" s="47"/>
      <c r="AA51" s="47" t="str">
        <f>_xlfn.IFNA(INDEX('[3]3.5.1'!$1:$104,MATCH(AA$4,'[3]3.5.1'!$A:$A,0),MATCH(Summary!$C51,'[3]3.5.1'!$1:$1,0)),"")</f>
        <v/>
      </c>
      <c r="AB51" s="47"/>
      <c r="AC51" s="47"/>
      <c r="AD51" s="47" t="str">
        <f>_xlfn.IFNA(INDEX('[3]3.5.1'!$1:$104,MATCH(AD$4,'[3]3.5.1'!$A:$A,0),MATCH(Summary!$C51,'[3]3.5.1'!$1:$1,0)),"")</f>
        <v/>
      </c>
      <c r="AE51" s="47"/>
      <c r="AF51" s="47"/>
      <c r="AG51" s="47">
        <f>_xlfn.IFNA(INDEX('[3]3.5.1'!$1:$104,MATCH(AG$4,'[3]3.5.1'!$A:$A,0),MATCH(Summary!$C51,'[3]3.5.1'!$1:$1,0)),"")</f>
        <v>548460.044</v>
      </c>
      <c r="AH51" s="47"/>
      <c r="AI51" s="47"/>
      <c r="AJ51" s="47" t="str">
        <f>_xlfn.IFNA(INDEX('[3]3.5.1'!$1:$104,MATCH(AJ$4,'[3]3.5.1'!$A:$A,0),MATCH(Summary!$C51,'[3]3.5.1'!$1:$1,0)),"")</f>
        <v/>
      </c>
      <c r="AK51" s="47"/>
      <c r="AL51" s="47"/>
      <c r="AM51" s="47" t="str">
        <f>_xlfn.IFNA(INDEX('[3]3.5.1'!$1:$104,MATCH(AM$4,'[3]3.5.1'!$A:$A,0),MATCH(Summary!$C51,'[3]3.5.1'!$1:$1,0)),"")</f>
        <v/>
      </c>
      <c r="AN51" s="47"/>
      <c r="AO51" s="47"/>
      <c r="AP51" s="47">
        <f>_xlfn.IFNA(INDEX('[3]3.5.1'!$1:$104,MATCH(AP$4,'[3]3.5.1'!$A:$A,0),MATCH(Summary!$C51,'[3]3.5.1'!$1:$1,0)),"")</f>
        <v>568713.389</v>
      </c>
      <c r="AQ51" s="47"/>
      <c r="AR51" s="47"/>
      <c r="AS51" s="47" t="str">
        <f>_xlfn.IFNA(INDEX('[3]3.5.1'!$1:$104,MATCH(AS$4,'[3]3.5.1'!$A:$A,0),MATCH(Summary!$C51,'[3]3.5.1'!$1:$1,0)),"")</f>
        <v/>
      </c>
      <c r="AT51" s="47"/>
      <c r="AU51" s="47"/>
      <c r="AV51" s="47" t="str">
        <f>_xlfn.IFNA(INDEX('[3]3.5.1'!$1:$104,MATCH(AV$4,'[3]3.5.1'!$A:$A,0),MATCH(Summary!$C51,'[3]3.5.1'!$1:$1,0)),"")</f>
        <v/>
      </c>
      <c r="AW51" s="47"/>
      <c r="AX51" s="47"/>
      <c r="AY51" s="47">
        <f>_xlfn.IFNA(INDEX('[3]3.5.1'!$1:$104,MATCH(AY$4,'[3]3.5.1'!$A:$A,0),MATCH(Summary!$C51,'[3]3.5.1'!$1:$1,0)),"")</f>
        <v>602360.451</v>
      </c>
      <c r="AZ51" s="47"/>
      <c r="BA51" s="47"/>
      <c r="BB51" s="47">
        <f>_xlfn.IFNA(INDEX('[3]3.5.1'!$1:$104,MATCH(BB$4,'[3]3.5.1'!$A:$A,0),MATCH(Summary!$C51,'[3]3.5.1'!$1:$1,0)),"")</f>
        <v>633676.851</v>
      </c>
      <c r="BC51" s="47"/>
      <c r="BD51" s="47"/>
      <c r="BE51" s="47" t="str">
        <f>_xlfn.IFNA(INDEX('[3]3.5.1'!$1:$104,MATCH(BE$4,'[3]3.5.1'!$A:$A,0),MATCH(Summary!$C51,'[3]3.5.1'!$1:$1,0)),"")</f>
        <v/>
      </c>
      <c r="BF51" s="47"/>
      <c r="BG51" s="47"/>
      <c r="BH51" s="47" t="str">
        <f>_xlfn.IFNA(INDEX('[3]3.5.1'!$1:$104,MATCH(BH$4,'[3]3.5.1'!$A:$A,0),MATCH(Summary!$C51,'[3]3.5.1'!$1:$1,0)),"")</f>
        <v/>
      </c>
      <c r="BI51" s="47"/>
      <c r="BJ51" s="47"/>
      <c r="BK51" s="47" t="str">
        <f>_xlfn.IFNA(INDEX('[3]3.5.1'!$1:$104,MATCH(BK$4,'[3]3.5.1'!$A:$A,0),MATCH(Summary!$C51,'[3]3.5.1'!$1:$1,0)),"")</f>
        <v/>
      </c>
    </row>
    <row r="52" s="1" customFormat="1" ht="16.5" customHeight="1" outlineLevel="1" spans="1:63">
      <c r="A52" s="22"/>
      <c r="B52" s="22"/>
      <c r="C52" s="22" t="s">
        <v>493</v>
      </c>
      <c r="D52" s="42"/>
      <c r="E52" s="42"/>
      <c r="F52" s="42" t="s">
        <v>494</v>
      </c>
      <c r="G52" s="44" t="s">
        <v>495</v>
      </c>
      <c r="H52" s="45">
        <f t="shared" si="9"/>
        <v>0.0480068971582583</v>
      </c>
      <c r="I52" s="46" t="str">
        <f t="shared" si="10"/>
        <v/>
      </c>
      <c r="J52" s="47"/>
      <c r="K52" s="47"/>
      <c r="L52" s="47" t="str">
        <f>_xlfn.IFNA(INDEX('[3]3.5.1'!$1:$104,MATCH(L$4,'[3]3.5.1'!$A:$A,0),MATCH(Summary!$C52,'[3]3.5.1'!$1:$1,0)),"")</f>
        <v/>
      </c>
      <c r="M52" s="47"/>
      <c r="N52" s="47"/>
      <c r="O52" s="47">
        <f>_xlfn.IFNA(INDEX('[3]3.5.1'!$1:$104,MATCH(O$4,'[3]3.5.1'!$A:$A,0),MATCH(Summary!$C52,'[3]3.5.1'!$1:$1,0)),"")</f>
        <v>517893.4</v>
      </c>
      <c r="P52" s="47"/>
      <c r="Q52" s="47"/>
      <c r="R52" s="47" t="str">
        <f>_xlfn.IFNA(INDEX('[3]3.5.1'!$1:$104,MATCH(R$4,'[3]3.5.1'!$A:$A,0),MATCH(Summary!$C52,'[3]3.5.1'!$1:$1,0)),"")</f>
        <v/>
      </c>
      <c r="S52" s="47"/>
      <c r="T52" s="47"/>
      <c r="U52" s="47" t="str">
        <f>_xlfn.IFNA(INDEX('[3]3.5.1'!$1:$104,MATCH(U$4,'[3]3.5.1'!$A:$A,0),MATCH(Summary!$C52,'[3]3.5.1'!$1:$1,0)),"")</f>
        <v/>
      </c>
      <c r="V52" s="47"/>
      <c r="W52" s="47"/>
      <c r="X52" s="47">
        <f>_xlfn.IFNA(INDEX('[3]3.5.1'!$1:$104,MATCH(X$4,'[3]3.5.1'!$A:$A,0),MATCH(Summary!$C52,'[3]3.5.1'!$1:$1,0)),"")</f>
        <v>528207.436</v>
      </c>
      <c r="Y52" s="47"/>
      <c r="Z52" s="47"/>
      <c r="AA52" s="47" t="str">
        <f>_xlfn.IFNA(INDEX('[3]3.5.1'!$1:$104,MATCH(AA$4,'[3]3.5.1'!$A:$A,0),MATCH(Summary!$C52,'[3]3.5.1'!$1:$1,0)),"")</f>
        <v/>
      </c>
      <c r="AB52" s="47"/>
      <c r="AC52" s="47"/>
      <c r="AD52" s="47" t="str">
        <f>_xlfn.IFNA(INDEX('[3]3.5.1'!$1:$104,MATCH(AD$4,'[3]3.5.1'!$A:$A,0),MATCH(Summary!$C52,'[3]3.5.1'!$1:$1,0)),"")</f>
        <v/>
      </c>
      <c r="AE52" s="47"/>
      <c r="AF52" s="47"/>
      <c r="AG52" s="47">
        <f>_xlfn.IFNA(INDEX('[3]3.5.1'!$1:$104,MATCH(AG$4,'[3]3.5.1'!$A:$A,0),MATCH(Summary!$C52,'[3]3.5.1'!$1:$1,0)),"")</f>
        <v>539089.664</v>
      </c>
      <c r="AH52" s="47"/>
      <c r="AI52" s="47"/>
      <c r="AJ52" s="47" t="str">
        <f>_xlfn.IFNA(INDEX('[3]3.5.1'!$1:$104,MATCH(AJ$4,'[3]3.5.1'!$A:$A,0),MATCH(Summary!$C52,'[3]3.5.1'!$1:$1,0)),"")</f>
        <v/>
      </c>
      <c r="AK52" s="47"/>
      <c r="AL52" s="47"/>
      <c r="AM52" s="47" t="str">
        <f>_xlfn.IFNA(INDEX('[3]3.5.1'!$1:$104,MATCH(AM$4,'[3]3.5.1'!$A:$A,0),MATCH(Summary!$C52,'[3]3.5.1'!$1:$1,0)),"")</f>
        <v/>
      </c>
      <c r="AN52" s="47"/>
      <c r="AO52" s="47"/>
      <c r="AP52" s="47">
        <f>_xlfn.IFNA(INDEX('[3]3.5.1'!$1:$104,MATCH(AP$4,'[3]3.5.1'!$A:$A,0),MATCH(Summary!$C52,'[3]3.5.1'!$1:$1,0)),"")</f>
        <v>536222.496</v>
      </c>
      <c r="AQ52" s="47"/>
      <c r="AR52" s="47"/>
      <c r="AS52" s="47" t="str">
        <f>_xlfn.IFNA(INDEX('[3]3.5.1'!$1:$104,MATCH(AS$4,'[3]3.5.1'!$A:$A,0),MATCH(Summary!$C52,'[3]3.5.1'!$1:$1,0)),"")</f>
        <v/>
      </c>
      <c r="AT52" s="47"/>
      <c r="AU52" s="47"/>
      <c r="AV52" s="47" t="str">
        <f>_xlfn.IFNA(INDEX('[3]3.5.1'!$1:$104,MATCH(AV$4,'[3]3.5.1'!$A:$A,0),MATCH(Summary!$C52,'[3]3.5.1'!$1:$1,0)),"")</f>
        <v/>
      </c>
      <c r="AW52" s="47"/>
      <c r="AX52" s="47"/>
      <c r="AY52" s="47">
        <f>_xlfn.IFNA(INDEX('[3]3.5.1'!$1:$104,MATCH(AY$4,'[3]3.5.1'!$A:$A,0),MATCH(Summary!$C52,'[3]3.5.1'!$1:$1,0)),"")</f>
        <v>550029.988</v>
      </c>
      <c r="AZ52" s="47"/>
      <c r="BA52" s="47"/>
      <c r="BB52" s="47">
        <f>_xlfn.IFNA(INDEX('[3]3.5.1'!$1:$104,MATCH(BB$4,'[3]3.5.1'!$A:$A,0),MATCH(Summary!$C52,'[3]3.5.1'!$1:$1,0)),"")</f>
        <v>560687.672</v>
      </c>
      <c r="BC52" s="47"/>
      <c r="BD52" s="47"/>
      <c r="BE52" s="47" t="str">
        <f>_xlfn.IFNA(INDEX('[3]3.5.1'!$1:$104,MATCH(BE$4,'[3]3.5.1'!$A:$A,0),MATCH(Summary!$C52,'[3]3.5.1'!$1:$1,0)),"")</f>
        <v/>
      </c>
      <c r="BF52" s="47"/>
      <c r="BG52" s="47"/>
      <c r="BH52" s="47" t="str">
        <f>_xlfn.IFNA(INDEX('[3]3.5.1'!$1:$104,MATCH(BH$4,'[3]3.5.1'!$A:$A,0),MATCH(Summary!$C52,'[3]3.5.1'!$1:$1,0)),"")</f>
        <v/>
      </c>
      <c r="BI52" s="47"/>
      <c r="BJ52" s="47"/>
      <c r="BK52" s="47" t="str">
        <f>_xlfn.IFNA(INDEX('[3]3.5.1'!$1:$104,MATCH(BK$4,'[3]3.5.1'!$A:$A,0),MATCH(Summary!$C52,'[3]3.5.1'!$1:$1,0)),"")</f>
        <v/>
      </c>
    </row>
    <row r="53" s="1" customFormat="1" ht="16.5" customHeight="1" outlineLevel="1" spans="1:63">
      <c r="A53" s="22"/>
      <c r="B53" s="22"/>
      <c r="C53" s="22" t="s">
        <v>496</v>
      </c>
      <c r="D53" s="42"/>
      <c r="E53" s="42"/>
      <c r="F53" s="42" t="s">
        <v>497</v>
      </c>
      <c r="G53" s="44" t="s">
        <v>498</v>
      </c>
      <c r="H53" s="45">
        <f t="shared" si="9"/>
        <v>0.018896657368799</v>
      </c>
      <c r="I53" s="46" t="str">
        <f t="shared" si="10"/>
        <v/>
      </c>
      <c r="J53" s="47"/>
      <c r="K53" s="47"/>
      <c r="L53" s="47" t="str">
        <f>_xlfn.IFNA(INDEX('[3]3.5.1'!$1:$104,MATCH(L$4,'[3]3.5.1'!$A:$A,0),MATCH(Summary!$C53,'[3]3.5.1'!$1:$1,0)),"")</f>
        <v/>
      </c>
      <c r="M53" s="47"/>
      <c r="N53" s="47"/>
      <c r="O53" s="47">
        <f>_xlfn.IFNA(INDEX('[3]3.5.1'!$1:$104,MATCH(O$4,'[3]3.5.1'!$A:$A,0),MATCH(Summary!$C53,'[3]3.5.1'!$1:$1,0)),"")</f>
        <v>203855.169</v>
      </c>
      <c r="P53" s="47"/>
      <c r="Q53" s="47"/>
      <c r="R53" s="47" t="str">
        <f>_xlfn.IFNA(INDEX('[3]3.5.1'!$1:$104,MATCH(R$4,'[3]3.5.1'!$A:$A,0),MATCH(Summary!$C53,'[3]3.5.1'!$1:$1,0)),"")</f>
        <v/>
      </c>
      <c r="S53" s="47"/>
      <c r="T53" s="47"/>
      <c r="U53" s="47" t="str">
        <f>_xlfn.IFNA(INDEX('[3]3.5.1'!$1:$104,MATCH(U$4,'[3]3.5.1'!$A:$A,0),MATCH(Summary!$C53,'[3]3.5.1'!$1:$1,0)),"")</f>
        <v/>
      </c>
      <c r="V53" s="47"/>
      <c r="W53" s="47"/>
      <c r="X53" s="47">
        <f>_xlfn.IFNA(INDEX('[3]3.5.1'!$1:$104,MATCH(X$4,'[3]3.5.1'!$A:$A,0),MATCH(Summary!$C53,'[3]3.5.1'!$1:$1,0)),"")</f>
        <v>208555.266</v>
      </c>
      <c r="Y53" s="47"/>
      <c r="Z53" s="47"/>
      <c r="AA53" s="47" t="str">
        <f>_xlfn.IFNA(INDEX('[3]3.5.1'!$1:$104,MATCH(AA$4,'[3]3.5.1'!$A:$A,0),MATCH(Summary!$C53,'[3]3.5.1'!$1:$1,0)),"")</f>
        <v/>
      </c>
      <c r="AB53" s="47"/>
      <c r="AC53" s="47"/>
      <c r="AD53" s="47" t="str">
        <f>_xlfn.IFNA(INDEX('[3]3.5.1'!$1:$104,MATCH(AD$4,'[3]3.5.1'!$A:$A,0),MATCH(Summary!$C53,'[3]3.5.1'!$1:$1,0)),"")</f>
        <v/>
      </c>
      <c r="AE53" s="47"/>
      <c r="AF53" s="47"/>
      <c r="AG53" s="47">
        <f>_xlfn.IFNA(INDEX('[3]3.5.1'!$1:$104,MATCH(AG$4,'[3]3.5.1'!$A:$A,0),MATCH(Summary!$C53,'[3]3.5.1'!$1:$1,0)),"")</f>
        <v>213035.634</v>
      </c>
      <c r="AH53" s="47"/>
      <c r="AI53" s="47"/>
      <c r="AJ53" s="47" t="str">
        <f>_xlfn.IFNA(INDEX('[3]3.5.1'!$1:$104,MATCH(AJ$4,'[3]3.5.1'!$A:$A,0),MATCH(Summary!$C53,'[3]3.5.1'!$1:$1,0)),"")</f>
        <v/>
      </c>
      <c r="AK53" s="47"/>
      <c r="AL53" s="47"/>
      <c r="AM53" s="47" t="str">
        <f>_xlfn.IFNA(INDEX('[3]3.5.1'!$1:$104,MATCH(AM$4,'[3]3.5.1'!$A:$A,0),MATCH(Summary!$C53,'[3]3.5.1'!$1:$1,0)),"")</f>
        <v/>
      </c>
      <c r="AN53" s="47"/>
      <c r="AO53" s="47"/>
      <c r="AP53" s="47">
        <f>_xlfn.IFNA(INDEX('[3]3.5.1'!$1:$104,MATCH(AP$4,'[3]3.5.1'!$A:$A,0),MATCH(Summary!$C53,'[3]3.5.1'!$1:$1,0)),"")</f>
        <v>211710.603</v>
      </c>
      <c r="AQ53" s="47"/>
      <c r="AR53" s="47"/>
      <c r="AS53" s="47" t="str">
        <f>_xlfn.IFNA(INDEX('[3]3.5.1'!$1:$104,MATCH(AS$4,'[3]3.5.1'!$A:$A,0),MATCH(Summary!$C53,'[3]3.5.1'!$1:$1,0)),"")</f>
        <v/>
      </c>
      <c r="AT53" s="47"/>
      <c r="AU53" s="47"/>
      <c r="AV53" s="47" t="str">
        <f>_xlfn.IFNA(INDEX('[3]3.5.1'!$1:$104,MATCH(AV$4,'[3]3.5.1'!$A:$A,0),MATCH(Summary!$C53,'[3]3.5.1'!$1:$1,0)),"")</f>
        <v/>
      </c>
      <c r="AW53" s="47"/>
      <c r="AX53" s="47"/>
      <c r="AY53" s="47">
        <f>_xlfn.IFNA(INDEX('[3]3.5.1'!$1:$104,MATCH(AY$4,'[3]3.5.1'!$A:$A,0),MATCH(Summary!$C53,'[3]3.5.1'!$1:$1,0)),"")</f>
        <v>221517.122</v>
      </c>
      <c r="AZ53" s="47"/>
      <c r="BA53" s="47"/>
      <c r="BB53" s="47">
        <f>_xlfn.IFNA(INDEX('[3]3.5.1'!$1:$104,MATCH(BB$4,'[3]3.5.1'!$A:$A,0),MATCH(Summary!$C53,'[3]3.5.1'!$1:$1,0)),"")</f>
        <v>220048.58</v>
      </c>
      <c r="BC53" s="47"/>
      <c r="BD53" s="47"/>
      <c r="BE53" s="47" t="str">
        <f>_xlfn.IFNA(INDEX('[3]3.5.1'!$1:$104,MATCH(BE$4,'[3]3.5.1'!$A:$A,0),MATCH(Summary!$C53,'[3]3.5.1'!$1:$1,0)),"")</f>
        <v/>
      </c>
      <c r="BF53" s="47"/>
      <c r="BG53" s="47"/>
      <c r="BH53" s="47" t="str">
        <f>_xlfn.IFNA(INDEX('[3]3.5.1'!$1:$104,MATCH(BH$4,'[3]3.5.1'!$A:$A,0),MATCH(Summary!$C53,'[3]3.5.1'!$1:$1,0)),"")</f>
        <v/>
      </c>
      <c r="BI53" s="47"/>
      <c r="BJ53" s="47"/>
      <c r="BK53" s="47" t="str">
        <f>_xlfn.IFNA(INDEX('[3]3.5.1'!$1:$104,MATCH(BK$4,'[3]3.5.1'!$A:$A,0),MATCH(Summary!$C53,'[3]3.5.1'!$1:$1,0)),"")</f>
        <v/>
      </c>
    </row>
    <row r="54" s="1" customFormat="1" ht="16.5" customHeight="1" outlineLevel="1" spans="1:63">
      <c r="A54" s="22"/>
      <c r="B54" s="22"/>
      <c r="C54" s="22" t="s">
        <v>499</v>
      </c>
      <c r="D54" s="42"/>
      <c r="E54" s="42"/>
      <c r="F54" s="57" t="s">
        <v>220</v>
      </c>
      <c r="G54" s="58" t="s">
        <v>221</v>
      </c>
      <c r="H54" s="45">
        <f t="shared" si="9"/>
        <v>0.0066527514647891</v>
      </c>
      <c r="I54" s="46" t="str">
        <f t="shared" si="10"/>
        <v/>
      </c>
      <c r="J54" s="47"/>
      <c r="K54" s="47"/>
      <c r="L54" s="47" t="str">
        <f>_xlfn.IFNA(INDEX('[3]3.5.1'!$1:$104,MATCH(L$4,'[3]3.5.1'!$A:$A,0),MATCH(Summary!$C54,'[3]3.5.1'!$1:$1,0)),"")</f>
        <v/>
      </c>
      <c r="M54" s="47"/>
      <c r="N54" s="47"/>
      <c r="O54" s="47">
        <f>_xlfn.IFNA(INDEX('[3]3.5.1'!$1:$104,MATCH(O$4,'[3]3.5.1'!$A:$A,0),MATCH(Summary!$C54,'[3]3.5.1'!$1:$1,0)),"")</f>
        <v>71769.189</v>
      </c>
      <c r="P54" s="47"/>
      <c r="Q54" s="47"/>
      <c r="R54" s="47" t="str">
        <f>_xlfn.IFNA(INDEX('[3]3.5.1'!$1:$104,MATCH(R$4,'[3]3.5.1'!$A:$A,0),MATCH(Summary!$C54,'[3]3.5.1'!$1:$1,0)),"")</f>
        <v/>
      </c>
      <c r="S54" s="47"/>
      <c r="T54" s="47"/>
      <c r="U54" s="47" t="str">
        <f>_xlfn.IFNA(INDEX('[3]3.5.1'!$1:$104,MATCH(U$4,'[3]3.5.1'!$A:$A,0),MATCH(Summary!$C54,'[3]3.5.1'!$1:$1,0)),"")</f>
        <v/>
      </c>
      <c r="V54" s="47"/>
      <c r="W54" s="47"/>
      <c r="X54" s="47">
        <f>_xlfn.IFNA(INDEX('[3]3.5.1'!$1:$104,MATCH(X$4,'[3]3.5.1'!$A:$A,0),MATCH(Summary!$C54,'[3]3.5.1'!$1:$1,0)),"")</f>
        <v>65883.52</v>
      </c>
      <c r="Y54" s="47"/>
      <c r="Z54" s="47"/>
      <c r="AA54" s="47" t="str">
        <f>_xlfn.IFNA(INDEX('[3]3.5.1'!$1:$104,MATCH(AA$4,'[3]3.5.1'!$A:$A,0),MATCH(Summary!$C54,'[3]3.5.1'!$1:$1,0)),"")</f>
        <v/>
      </c>
      <c r="AB54" s="47"/>
      <c r="AC54" s="47"/>
      <c r="AD54" s="47" t="str">
        <f>_xlfn.IFNA(INDEX('[3]3.5.1'!$1:$104,MATCH(AD$4,'[3]3.5.1'!$A:$A,0),MATCH(Summary!$C54,'[3]3.5.1'!$1:$1,0)),"")</f>
        <v/>
      </c>
      <c r="AE54" s="47"/>
      <c r="AF54" s="47"/>
      <c r="AG54" s="47">
        <f>_xlfn.IFNA(INDEX('[3]3.5.1'!$1:$104,MATCH(AG$4,'[3]3.5.1'!$A:$A,0),MATCH(Summary!$C54,'[3]3.5.1'!$1:$1,0)),"")</f>
        <v>65317.624</v>
      </c>
      <c r="AH54" s="47"/>
      <c r="AI54" s="47"/>
      <c r="AJ54" s="47" t="str">
        <f>_xlfn.IFNA(INDEX('[3]3.5.1'!$1:$104,MATCH(AJ$4,'[3]3.5.1'!$A:$A,0),MATCH(Summary!$C54,'[3]3.5.1'!$1:$1,0)),"")</f>
        <v/>
      </c>
      <c r="AK54" s="47"/>
      <c r="AL54" s="47"/>
      <c r="AM54" s="47" t="str">
        <f>_xlfn.IFNA(INDEX('[3]3.5.1'!$1:$104,MATCH(AM$4,'[3]3.5.1'!$A:$A,0),MATCH(Summary!$C54,'[3]3.5.1'!$1:$1,0)),"")</f>
        <v/>
      </c>
      <c r="AN54" s="47"/>
      <c r="AO54" s="47"/>
      <c r="AP54" s="47">
        <f>_xlfn.IFNA(INDEX('[3]3.5.1'!$1:$104,MATCH(AP$4,'[3]3.5.1'!$A:$A,0),MATCH(Summary!$C54,'[3]3.5.1'!$1:$1,0)),"")</f>
        <v>70752.97</v>
      </c>
      <c r="AQ54" s="47"/>
      <c r="AR54" s="47"/>
      <c r="AS54" s="47" t="str">
        <f>_xlfn.IFNA(INDEX('[3]3.5.1'!$1:$104,MATCH(AS$4,'[3]3.5.1'!$A:$A,0),MATCH(Summary!$C54,'[3]3.5.1'!$1:$1,0)),"")</f>
        <v/>
      </c>
      <c r="AT54" s="47"/>
      <c r="AU54" s="47"/>
      <c r="AV54" s="47" t="str">
        <f>_xlfn.IFNA(INDEX('[3]3.5.1'!$1:$104,MATCH(AV$4,'[3]3.5.1'!$A:$A,0),MATCH(Summary!$C54,'[3]3.5.1'!$1:$1,0)),"")</f>
        <v/>
      </c>
      <c r="AW54" s="47"/>
      <c r="AX54" s="47"/>
      <c r="AY54" s="47">
        <f>_xlfn.IFNA(INDEX('[3]3.5.1'!$1:$104,MATCH(AY$4,'[3]3.5.1'!$A:$A,0),MATCH(Summary!$C54,'[3]3.5.1'!$1:$1,0)),"")</f>
        <v>61442.079</v>
      </c>
      <c r="AZ54" s="47"/>
      <c r="BA54" s="47"/>
      <c r="BB54" s="47">
        <f>_xlfn.IFNA(INDEX('[3]3.5.1'!$1:$104,MATCH(BB$4,'[3]3.5.1'!$A:$A,0),MATCH(Summary!$C54,'[3]3.5.1'!$1:$1,0)),"")</f>
        <v>64124.581</v>
      </c>
      <c r="BC54" s="47"/>
      <c r="BD54" s="47"/>
      <c r="BE54" s="47" t="str">
        <f>_xlfn.IFNA(INDEX('[3]3.5.1'!$1:$104,MATCH(BE$4,'[3]3.5.1'!$A:$A,0),MATCH(Summary!$C54,'[3]3.5.1'!$1:$1,0)),"")</f>
        <v/>
      </c>
      <c r="BF54" s="47"/>
      <c r="BG54" s="47"/>
      <c r="BH54" s="47" t="str">
        <f>_xlfn.IFNA(INDEX('[3]3.5.1'!$1:$104,MATCH(BH$4,'[3]3.5.1'!$A:$A,0),MATCH(Summary!$C54,'[3]3.5.1'!$1:$1,0)),"")</f>
        <v/>
      </c>
      <c r="BI54" s="47"/>
      <c r="BJ54" s="47"/>
      <c r="BK54" s="47" t="str">
        <f>_xlfn.IFNA(INDEX('[3]3.5.1'!$1:$104,MATCH(BK$4,'[3]3.5.1'!$A:$A,0),MATCH(Summary!$C54,'[3]3.5.1'!$1:$1,0)),"")</f>
        <v/>
      </c>
    </row>
    <row r="55" s="2" customFormat="1" ht="16.5" customHeight="1" spans="1:63">
      <c r="A55" s="22"/>
      <c r="B55" s="22"/>
      <c r="C55" s="22" t="s">
        <v>500</v>
      </c>
      <c r="D55" s="53"/>
      <c r="E55" s="53"/>
      <c r="F55" s="53" t="s">
        <v>106</v>
      </c>
      <c r="G55" s="53" t="s">
        <v>501</v>
      </c>
      <c r="H55" s="54">
        <f t="shared" si="9"/>
        <v>0.0289269414843227</v>
      </c>
      <c r="I55" s="55" t="str">
        <f t="shared" si="10"/>
        <v/>
      </c>
      <c r="J55" s="56"/>
      <c r="K55" s="56"/>
      <c r="L55" s="56" t="str">
        <f>_xlfn.IFNA(INDEX('[3]3.5.1'!$1:$104,MATCH(L$4,'[3]3.5.1'!$A:$A,0),MATCH(Summary!$C55,'[3]3.5.1'!$1:$1,0)),"")</f>
        <v/>
      </c>
      <c r="M55" s="56"/>
      <c r="N55" s="56"/>
      <c r="O55" s="56">
        <f>_xlfn.IFNA(INDEX('[3]3.5.1'!$1:$104,MATCH(O$4,'[3]3.5.1'!$A:$A,0),MATCH(Summary!$C55,'[3]3.5.1'!$1:$1,0)),"")</f>
        <v>312060.828</v>
      </c>
      <c r="P55" s="56"/>
      <c r="Q55" s="56"/>
      <c r="R55" s="56" t="str">
        <f>_xlfn.IFNA(INDEX('[3]3.5.1'!$1:$104,MATCH(R$4,'[3]3.5.1'!$A:$A,0),MATCH(Summary!$C55,'[3]3.5.1'!$1:$1,0)),"")</f>
        <v/>
      </c>
      <c r="S55" s="56"/>
      <c r="T55" s="56"/>
      <c r="U55" s="56" t="str">
        <f>_xlfn.IFNA(INDEX('[3]3.5.1'!$1:$104,MATCH(U$4,'[3]3.5.1'!$A:$A,0),MATCH(Summary!$C55,'[3]3.5.1'!$1:$1,0)),"")</f>
        <v/>
      </c>
      <c r="V55" s="56"/>
      <c r="W55" s="56"/>
      <c r="X55" s="56">
        <f>_xlfn.IFNA(INDEX('[3]3.5.1'!$1:$104,MATCH(X$4,'[3]3.5.1'!$A:$A,0),MATCH(Summary!$C55,'[3]3.5.1'!$1:$1,0)),"")</f>
        <v>284551.075</v>
      </c>
      <c r="Y55" s="56"/>
      <c r="Z55" s="56"/>
      <c r="AA55" s="56" t="str">
        <f>_xlfn.IFNA(INDEX('[3]3.5.1'!$1:$104,MATCH(AA$4,'[3]3.5.1'!$A:$A,0),MATCH(Summary!$C55,'[3]3.5.1'!$1:$1,0)),"")</f>
        <v/>
      </c>
      <c r="AB55" s="56"/>
      <c r="AC55" s="56"/>
      <c r="AD55" s="56" t="str">
        <f>_xlfn.IFNA(INDEX('[3]3.5.1'!$1:$104,MATCH(AD$4,'[3]3.5.1'!$A:$A,0),MATCH(Summary!$C55,'[3]3.5.1'!$1:$1,0)),"")</f>
        <v/>
      </c>
      <c r="AE55" s="56"/>
      <c r="AF55" s="56"/>
      <c r="AG55" s="56">
        <f>_xlfn.IFNA(INDEX('[3]3.5.1'!$1:$104,MATCH(AG$4,'[3]3.5.1'!$A:$A,0),MATCH(Summary!$C55,'[3]3.5.1'!$1:$1,0)),"")</f>
        <v>278886.353</v>
      </c>
      <c r="AH55" s="56"/>
      <c r="AI55" s="56"/>
      <c r="AJ55" s="56" t="str">
        <f>_xlfn.IFNA(INDEX('[3]3.5.1'!$1:$104,MATCH(AJ$4,'[3]3.5.1'!$A:$A,0),MATCH(Summary!$C55,'[3]3.5.1'!$1:$1,0)),"")</f>
        <v/>
      </c>
      <c r="AK55" s="56"/>
      <c r="AL55" s="56"/>
      <c r="AM55" s="56" t="str">
        <f>_xlfn.IFNA(INDEX('[3]3.5.1'!$1:$104,MATCH(AM$4,'[3]3.5.1'!$A:$A,0),MATCH(Summary!$C55,'[3]3.5.1'!$1:$1,0)),"")</f>
        <v/>
      </c>
      <c r="AN55" s="56"/>
      <c r="AO55" s="56"/>
      <c r="AP55" s="56">
        <f>_xlfn.IFNA(INDEX('[3]3.5.1'!$1:$104,MATCH(AP$4,'[3]3.5.1'!$A:$A,0),MATCH(Summary!$C55,'[3]3.5.1'!$1:$1,0)),"")</f>
        <v>282430.925</v>
      </c>
      <c r="AQ55" s="56"/>
      <c r="AR55" s="56"/>
      <c r="AS55" s="56" t="str">
        <f>_xlfn.IFNA(INDEX('[3]3.5.1'!$1:$104,MATCH(AS$4,'[3]3.5.1'!$A:$A,0),MATCH(Summary!$C55,'[3]3.5.1'!$1:$1,0)),"")</f>
        <v/>
      </c>
      <c r="AT55" s="56"/>
      <c r="AU55" s="56"/>
      <c r="AV55" s="56" t="str">
        <f>_xlfn.IFNA(INDEX('[3]3.5.1'!$1:$104,MATCH(AV$4,'[3]3.5.1'!$A:$A,0),MATCH(Summary!$C55,'[3]3.5.1'!$1:$1,0)),"")</f>
        <v/>
      </c>
      <c r="AW55" s="56"/>
      <c r="AX55" s="56"/>
      <c r="AY55" s="56">
        <f>_xlfn.IFNA(INDEX('[3]3.5.1'!$1:$104,MATCH(AY$4,'[3]3.5.1'!$A:$A,0),MATCH(Summary!$C55,'[3]3.5.1'!$1:$1,0)),"")</f>
        <v>293650.494</v>
      </c>
      <c r="AZ55" s="56"/>
      <c r="BA55" s="56"/>
      <c r="BB55" s="56">
        <f>_xlfn.IFNA(INDEX('[3]3.5.1'!$1:$104,MATCH(BB$4,'[3]3.5.1'!$A:$A,0),MATCH(Summary!$C55,'[3]3.5.1'!$1:$1,0)),"")</f>
        <v>292621.661</v>
      </c>
      <c r="BC55" s="56"/>
      <c r="BD55" s="56"/>
      <c r="BE55" s="56" t="str">
        <f>_xlfn.IFNA(INDEX('[3]3.5.1'!$1:$104,MATCH(BE$4,'[3]3.5.1'!$A:$A,0),MATCH(Summary!$C55,'[3]3.5.1'!$1:$1,0)),"")</f>
        <v/>
      </c>
      <c r="BF55" s="56"/>
      <c r="BG55" s="56"/>
      <c r="BH55" s="56" t="str">
        <f>_xlfn.IFNA(INDEX('[3]3.5.1'!$1:$104,MATCH(BH$4,'[3]3.5.1'!$A:$A,0),MATCH(Summary!$C55,'[3]3.5.1'!$1:$1,0)),"")</f>
        <v/>
      </c>
      <c r="BI55" s="56"/>
      <c r="BJ55" s="56"/>
      <c r="BK55" s="56" t="str">
        <f>_xlfn.IFNA(INDEX('[3]3.5.1'!$1:$104,MATCH(BK$4,'[3]3.5.1'!$A:$A,0),MATCH(Summary!$C55,'[3]3.5.1'!$1:$1,0)),"")</f>
        <v/>
      </c>
    </row>
    <row r="56" s="1" customFormat="1" ht="16.5" customHeight="1" outlineLevel="1" spans="1:63">
      <c r="A56" s="22"/>
      <c r="B56" s="22"/>
      <c r="C56" s="22" t="s">
        <v>502</v>
      </c>
      <c r="D56" s="59"/>
      <c r="E56" s="59"/>
      <c r="F56" s="59" t="s">
        <v>503</v>
      </c>
      <c r="G56" s="59" t="s">
        <v>504</v>
      </c>
      <c r="H56" s="60">
        <f t="shared" si="9"/>
        <v>0</v>
      </c>
      <c r="I56" s="61" t="str">
        <f t="shared" si="10"/>
        <v/>
      </c>
      <c r="J56" s="62"/>
      <c r="K56" s="62"/>
      <c r="L56" s="62" t="str">
        <f>_xlfn.IFNA(INDEX('[3]3.5.1'!$1:$104,MATCH(L$4,'[3]3.5.1'!$A:$A,0),MATCH(Summary!$C56,'[3]3.5.1'!$1:$1,0)),"")</f>
        <v/>
      </c>
      <c r="M56" s="62"/>
      <c r="N56" s="62"/>
      <c r="O56" s="62">
        <f>_xlfn.IFNA(INDEX('[3]3.5.1'!$1:$104,MATCH(O$4,'[3]3.5.1'!$A:$A,0),MATCH(Summary!$C56,'[3]3.5.1'!$1:$1,0)),"")</f>
        <v>0</v>
      </c>
      <c r="P56" s="62"/>
      <c r="Q56" s="62"/>
      <c r="R56" s="62" t="str">
        <f>_xlfn.IFNA(INDEX('[3]3.5.1'!$1:$104,MATCH(R$4,'[3]3.5.1'!$A:$A,0),MATCH(Summary!$C56,'[3]3.5.1'!$1:$1,0)),"")</f>
        <v/>
      </c>
      <c r="S56" s="62"/>
      <c r="T56" s="62"/>
      <c r="U56" s="62" t="str">
        <f>_xlfn.IFNA(INDEX('[3]3.5.1'!$1:$104,MATCH(U$4,'[3]3.5.1'!$A:$A,0),MATCH(Summary!$C56,'[3]3.5.1'!$1:$1,0)),"")</f>
        <v/>
      </c>
      <c r="V56" s="62"/>
      <c r="W56" s="62"/>
      <c r="X56" s="62">
        <f>_xlfn.IFNA(INDEX('[3]3.5.1'!$1:$104,MATCH(X$4,'[3]3.5.1'!$A:$A,0),MATCH(Summary!$C56,'[3]3.5.1'!$1:$1,0)),"")</f>
        <v>0</v>
      </c>
      <c r="Y56" s="62"/>
      <c r="Z56" s="62"/>
      <c r="AA56" s="62" t="str">
        <f>_xlfn.IFNA(INDEX('[3]3.5.1'!$1:$104,MATCH(AA$4,'[3]3.5.1'!$A:$A,0),MATCH(Summary!$C56,'[3]3.5.1'!$1:$1,0)),"")</f>
        <v/>
      </c>
      <c r="AB56" s="62"/>
      <c r="AC56" s="62"/>
      <c r="AD56" s="62" t="str">
        <f>_xlfn.IFNA(INDEX('[3]3.5.1'!$1:$104,MATCH(AD$4,'[3]3.5.1'!$A:$A,0),MATCH(Summary!$C56,'[3]3.5.1'!$1:$1,0)),"")</f>
        <v/>
      </c>
      <c r="AE56" s="62"/>
      <c r="AF56" s="62"/>
      <c r="AG56" s="62">
        <f>_xlfn.IFNA(INDEX('[3]3.5.1'!$1:$104,MATCH(AG$4,'[3]3.5.1'!$A:$A,0),MATCH(Summary!$C56,'[3]3.5.1'!$1:$1,0)),"")</f>
        <v>0</v>
      </c>
      <c r="AH56" s="62"/>
      <c r="AI56" s="62"/>
      <c r="AJ56" s="62" t="str">
        <f>_xlfn.IFNA(INDEX('[3]3.5.1'!$1:$104,MATCH(AJ$4,'[3]3.5.1'!$A:$A,0),MATCH(Summary!$C56,'[3]3.5.1'!$1:$1,0)),"")</f>
        <v/>
      </c>
      <c r="AK56" s="62"/>
      <c r="AL56" s="62"/>
      <c r="AM56" s="62" t="str">
        <f>_xlfn.IFNA(INDEX('[3]3.5.1'!$1:$104,MATCH(AM$4,'[3]3.5.1'!$A:$A,0),MATCH(Summary!$C56,'[3]3.5.1'!$1:$1,0)),"")</f>
        <v/>
      </c>
      <c r="AN56" s="62"/>
      <c r="AO56" s="62"/>
      <c r="AP56" s="62">
        <f>_xlfn.IFNA(INDEX('[3]3.5.1'!$1:$104,MATCH(AP$4,'[3]3.5.1'!$A:$A,0),MATCH(Summary!$C56,'[3]3.5.1'!$1:$1,0)),"")</f>
        <v>0</v>
      </c>
      <c r="AQ56" s="62"/>
      <c r="AR56" s="62"/>
      <c r="AS56" s="62" t="str">
        <f>_xlfn.IFNA(INDEX('[3]3.5.1'!$1:$104,MATCH(AS$4,'[3]3.5.1'!$A:$A,0),MATCH(Summary!$C56,'[3]3.5.1'!$1:$1,0)),"")</f>
        <v/>
      </c>
      <c r="AT56" s="62"/>
      <c r="AU56" s="62"/>
      <c r="AV56" s="62" t="str">
        <f>_xlfn.IFNA(INDEX('[3]3.5.1'!$1:$104,MATCH(AV$4,'[3]3.5.1'!$A:$A,0),MATCH(Summary!$C56,'[3]3.5.1'!$1:$1,0)),"")</f>
        <v/>
      </c>
      <c r="AW56" s="62"/>
      <c r="AX56" s="62"/>
      <c r="AY56" s="62">
        <f>_xlfn.IFNA(INDEX('[3]3.5.1'!$1:$104,MATCH(AY$4,'[3]3.5.1'!$A:$A,0),MATCH(Summary!$C56,'[3]3.5.1'!$1:$1,0)),"")</f>
        <v>0</v>
      </c>
      <c r="AZ56" s="62"/>
      <c r="BA56" s="62"/>
      <c r="BB56" s="62">
        <f>_xlfn.IFNA(INDEX('[3]3.5.1'!$1:$104,MATCH(BB$4,'[3]3.5.1'!$A:$A,0),MATCH(Summary!$C56,'[3]3.5.1'!$1:$1,0)),"")</f>
        <v>0</v>
      </c>
      <c r="BC56" s="62"/>
      <c r="BD56" s="62"/>
      <c r="BE56" s="62" t="str">
        <f>_xlfn.IFNA(INDEX('[3]3.5.1'!$1:$104,MATCH(BE$4,'[3]3.5.1'!$A:$A,0),MATCH(Summary!$C56,'[3]3.5.1'!$1:$1,0)),"")</f>
        <v/>
      </c>
      <c r="BF56" s="62"/>
      <c r="BG56" s="62"/>
      <c r="BH56" s="62" t="str">
        <f>_xlfn.IFNA(INDEX('[3]3.5.1'!$1:$104,MATCH(BH$4,'[3]3.5.1'!$A:$A,0),MATCH(Summary!$C56,'[3]3.5.1'!$1:$1,0)),"")</f>
        <v/>
      </c>
      <c r="BI56" s="62"/>
      <c r="BJ56" s="62"/>
      <c r="BK56" s="62" t="str">
        <f>_xlfn.IFNA(INDEX('[3]3.5.1'!$1:$104,MATCH(BK$4,'[3]3.5.1'!$A:$A,0),MATCH(Summary!$C56,'[3]3.5.1'!$1:$1,0)),"")</f>
        <v/>
      </c>
    </row>
    <row r="57" s="1" customFormat="1" ht="16.5" customHeight="1" outlineLevel="1" spans="1:63">
      <c r="A57" s="22"/>
      <c r="B57" s="22"/>
      <c r="C57" s="22" t="s">
        <v>505</v>
      </c>
      <c r="D57" s="59"/>
      <c r="E57" s="59"/>
      <c r="F57" s="59" t="s">
        <v>432</v>
      </c>
      <c r="G57" s="59" t="s">
        <v>506</v>
      </c>
      <c r="H57" s="60">
        <f t="shared" si="9"/>
        <v>0.445863721286222</v>
      </c>
      <c r="I57" s="61" t="str">
        <f t="shared" si="10"/>
        <v/>
      </c>
      <c r="J57" s="62"/>
      <c r="K57" s="62"/>
      <c r="L57" s="62" t="str">
        <f>_xlfn.IFNA(INDEX('[3]3.5.1'!$1:$104,MATCH(L$4,'[3]3.5.1'!$A:$A,0),MATCH(Summary!$C57,'[3]3.5.1'!$1:$1,0)),"")</f>
        <v/>
      </c>
      <c r="M57" s="62"/>
      <c r="N57" s="62"/>
      <c r="O57" s="62">
        <f>_xlfn.IFNA(INDEX('[3]3.5.1'!$1:$104,MATCH(O$4,'[3]3.5.1'!$A:$A,0),MATCH(Summary!$C57,'[3]3.5.1'!$1:$1,0)),"")</f>
        <v>4809931.327</v>
      </c>
      <c r="P57" s="62"/>
      <c r="Q57" s="62"/>
      <c r="R57" s="62" t="str">
        <f>_xlfn.IFNA(INDEX('[3]3.5.1'!$1:$104,MATCH(R$4,'[3]3.5.1'!$A:$A,0),MATCH(Summary!$C57,'[3]3.5.1'!$1:$1,0)),"")</f>
        <v/>
      </c>
      <c r="S57" s="62"/>
      <c r="T57" s="62"/>
      <c r="U57" s="62" t="str">
        <f>_xlfn.IFNA(INDEX('[3]3.5.1'!$1:$104,MATCH(U$4,'[3]3.5.1'!$A:$A,0),MATCH(Summary!$C57,'[3]3.5.1'!$1:$1,0)),"")</f>
        <v/>
      </c>
      <c r="V57" s="62"/>
      <c r="W57" s="62"/>
      <c r="X57" s="62">
        <f>_xlfn.IFNA(INDEX('[3]3.5.1'!$1:$104,MATCH(X$4,'[3]3.5.1'!$A:$A,0),MATCH(Summary!$C57,'[3]3.5.1'!$1:$1,0)),"")</f>
        <v>4687506.916</v>
      </c>
      <c r="Y57" s="62"/>
      <c r="Z57" s="62"/>
      <c r="AA57" s="62" t="str">
        <f>_xlfn.IFNA(INDEX('[3]3.5.1'!$1:$104,MATCH(AA$4,'[3]3.5.1'!$A:$A,0),MATCH(Summary!$C57,'[3]3.5.1'!$1:$1,0)),"")</f>
        <v/>
      </c>
      <c r="AB57" s="62"/>
      <c r="AC57" s="62"/>
      <c r="AD57" s="62" t="str">
        <f>_xlfn.IFNA(INDEX('[3]3.5.1'!$1:$104,MATCH(AD$4,'[3]3.5.1'!$A:$A,0),MATCH(Summary!$C57,'[3]3.5.1'!$1:$1,0)),"")</f>
        <v/>
      </c>
      <c r="AE57" s="62"/>
      <c r="AF57" s="62"/>
      <c r="AG57" s="62">
        <f>_xlfn.IFNA(INDEX('[3]3.5.1'!$1:$104,MATCH(AG$4,'[3]3.5.1'!$A:$A,0),MATCH(Summary!$C57,'[3]3.5.1'!$1:$1,0)),"")</f>
        <v>4525136.677</v>
      </c>
      <c r="AH57" s="62"/>
      <c r="AI57" s="62"/>
      <c r="AJ57" s="62" t="str">
        <f>_xlfn.IFNA(INDEX('[3]3.5.1'!$1:$104,MATCH(AJ$4,'[3]3.5.1'!$A:$A,0),MATCH(Summary!$C57,'[3]3.5.1'!$1:$1,0)),"")</f>
        <v/>
      </c>
      <c r="AK57" s="62"/>
      <c r="AL57" s="62"/>
      <c r="AM57" s="62" t="str">
        <f>_xlfn.IFNA(INDEX('[3]3.5.1'!$1:$104,MATCH(AM$4,'[3]3.5.1'!$A:$A,0),MATCH(Summary!$C57,'[3]3.5.1'!$1:$1,0)),"")</f>
        <v/>
      </c>
      <c r="AN57" s="62"/>
      <c r="AO57" s="62"/>
      <c r="AP57" s="62">
        <f>_xlfn.IFNA(INDEX('[3]3.5.1'!$1:$104,MATCH(AP$4,'[3]3.5.1'!$A:$A,0),MATCH(Summary!$C57,'[3]3.5.1'!$1:$1,0)),"")</f>
        <v>4473885.306</v>
      </c>
      <c r="AQ57" s="62"/>
      <c r="AR57" s="62"/>
      <c r="AS57" s="62" t="str">
        <f>_xlfn.IFNA(INDEX('[3]3.5.1'!$1:$104,MATCH(AS$4,'[3]3.5.1'!$A:$A,0),MATCH(Summary!$C57,'[3]3.5.1'!$1:$1,0)),"")</f>
        <v/>
      </c>
      <c r="AT57" s="62"/>
      <c r="AU57" s="62"/>
      <c r="AV57" s="62" t="str">
        <f>_xlfn.IFNA(INDEX('[3]3.5.1'!$1:$104,MATCH(AV$4,'[3]3.5.1'!$A:$A,0),MATCH(Summary!$C57,'[3]3.5.1'!$1:$1,0)),"")</f>
        <v/>
      </c>
      <c r="AW57" s="62"/>
      <c r="AX57" s="62"/>
      <c r="AY57" s="62">
        <f>_xlfn.IFNA(INDEX('[3]3.5.1'!$1:$104,MATCH(AY$4,'[3]3.5.1'!$A:$A,0),MATCH(Summary!$C57,'[3]3.5.1'!$1:$1,0)),"")</f>
        <v>4434070.18</v>
      </c>
      <c r="AZ57" s="62"/>
      <c r="BA57" s="62"/>
      <c r="BB57" s="62">
        <f>_xlfn.IFNA(INDEX('[3]3.5.1'!$1:$104,MATCH(BB$4,'[3]3.5.1'!$A:$A,0),MATCH(Summary!$C57,'[3]3.5.1'!$1:$1,0)),"")</f>
        <v>4292441.151</v>
      </c>
      <c r="BC57" s="62"/>
      <c r="BD57" s="62"/>
      <c r="BE57" s="62" t="str">
        <f>_xlfn.IFNA(INDEX('[3]3.5.1'!$1:$104,MATCH(BE$4,'[3]3.5.1'!$A:$A,0),MATCH(Summary!$C57,'[3]3.5.1'!$1:$1,0)),"")</f>
        <v/>
      </c>
      <c r="BF57" s="62"/>
      <c r="BG57" s="62"/>
      <c r="BH57" s="62" t="str">
        <f>_xlfn.IFNA(INDEX('[3]3.5.1'!$1:$104,MATCH(BH$4,'[3]3.5.1'!$A:$A,0),MATCH(Summary!$C57,'[3]3.5.1'!$1:$1,0)),"")</f>
        <v/>
      </c>
      <c r="BI57" s="62"/>
      <c r="BJ57" s="62"/>
      <c r="BK57" s="62" t="str">
        <f>_xlfn.IFNA(INDEX('[3]3.5.1'!$1:$104,MATCH(BK$4,'[3]3.5.1'!$A:$A,0),MATCH(Summary!$C57,'[3]3.5.1'!$1:$1,0)),"")</f>
        <v/>
      </c>
    </row>
    <row r="58" s="1" customFormat="1" ht="16.5" customHeight="1" outlineLevel="2" spans="1:63">
      <c r="A58" s="22"/>
      <c r="B58" s="22"/>
      <c r="C58" s="22" t="s">
        <v>507</v>
      </c>
      <c r="D58" s="42"/>
      <c r="E58" s="42"/>
      <c r="F58" s="57" t="s">
        <v>508</v>
      </c>
      <c r="G58" s="58" t="s">
        <v>509</v>
      </c>
      <c r="H58" s="45">
        <f t="shared" si="9"/>
        <v>0.0128401656539855</v>
      </c>
      <c r="I58" s="46" t="str">
        <f t="shared" si="10"/>
        <v/>
      </c>
      <c r="J58" s="47"/>
      <c r="K58" s="47"/>
      <c r="L58" s="47" t="str">
        <f>_xlfn.IFNA(INDEX('[3]3.5.1'!$1:$104,MATCH(L$4,'[3]3.5.1'!$A:$A,0),MATCH(Summary!$C58,'[3]3.5.1'!$1:$1,0)),"")</f>
        <v/>
      </c>
      <c r="M58" s="47"/>
      <c r="N58" s="47"/>
      <c r="O58" s="47">
        <f>_xlfn.IFNA(INDEX('[3]3.5.1'!$1:$104,MATCH(O$4,'[3]3.5.1'!$A:$A,0),MATCH(Summary!$C58,'[3]3.5.1'!$1:$1,0)),"")</f>
        <v>138518.368</v>
      </c>
      <c r="P58" s="47"/>
      <c r="Q58" s="47"/>
      <c r="R58" s="47" t="str">
        <f>_xlfn.IFNA(INDEX('[3]3.5.1'!$1:$104,MATCH(R$4,'[3]3.5.1'!$A:$A,0),MATCH(Summary!$C58,'[3]3.5.1'!$1:$1,0)),"")</f>
        <v/>
      </c>
      <c r="S58" s="47"/>
      <c r="T58" s="47"/>
      <c r="U58" s="47" t="str">
        <f>_xlfn.IFNA(INDEX('[3]3.5.1'!$1:$104,MATCH(U$4,'[3]3.5.1'!$A:$A,0),MATCH(Summary!$C58,'[3]3.5.1'!$1:$1,0)),"")</f>
        <v/>
      </c>
      <c r="V58" s="47"/>
      <c r="W58" s="47"/>
      <c r="X58" s="47">
        <f>_xlfn.IFNA(INDEX('[3]3.5.1'!$1:$104,MATCH(X$4,'[3]3.5.1'!$A:$A,0),MATCH(Summary!$C58,'[3]3.5.1'!$1:$1,0)),"")</f>
        <v>139804.429</v>
      </c>
      <c r="Y58" s="47"/>
      <c r="Z58" s="47"/>
      <c r="AA58" s="47" t="str">
        <f>_xlfn.IFNA(INDEX('[3]3.5.1'!$1:$104,MATCH(AA$4,'[3]3.5.1'!$A:$A,0),MATCH(Summary!$C58,'[3]3.5.1'!$1:$1,0)),"")</f>
        <v/>
      </c>
      <c r="AB58" s="47"/>
      <c r="AC58" s="47"/>
      <c r="AD58" s="47" t="str">
        <f>_xlfn.IFNA(INDEX('[3]3.5.1'!$1:$104,MATCH(AD$4,'[3]3.5.1'!$A:$A,0),MATCH(Summary!$C58,'[3]3.5.1'!$1:$1,0)),"")</f>
        <v/>
      </c>
      <c r="AE58" s="47"/>
      <c r="AF58" s="47"/>
      <c r="AG58" s="47">
        <f>_xlfn.IFNA(INDEX('[3]3.5.1'!$1:$104,MATCH(AG$4,'[3]3.5.1'!$A:$A,0),MATCH(Summary!$C58,'[3]3.5.1'!$1:$1,0)),"")</f>
        <v>131413.745</v>
      </c>
      <c r="AH58" s="47"/>
      <c r="AI58" s="47"/>
      <c r="AJ58" s="47" t="str">
        <f>_xlfn.IFNA(INDEX('[3]3.5.1'!$1:$104,MATCH(AJ$4,'[3]3.5.1'!$A:$A,0),MATCH(Summary!$C58,'[3]3.5.1'!$1:$1,0)),"")</f>
        <v/>
      </c>
      <c r="AK58" s="47"/>
      <c r="AL58" s="47"/>
      <c r="AM58" s="47" t="str">
        <f>_xlfn.IFNA(INDEX('[3]3.5.1'!$1:$104,MATCH(AM$4,'[3]3.5.1'!$A:$A,0),MATCH(Summary!$C58,'[3]3.5.1'!$1:$1,0)),"")</f>
        <v/>
      </c>
      <c r="AN58" s="47"/>
      <c r="AO58" s="47"/>
      <c r="AP58" s="47">
        <f>_xlfn.IFNA(INDEX('[3]3.5.1'!$1:$104,MATCH(AP$4,'[3]3.5.1'!$A:$A,0),MATCH(Summary!$C58,'[3]3.5.1'!$1:$1,0)),"")</f>
        <v>134852.388</v>
      </c>
      <c r="AQ58" s="47"/>
      <c r="AR58" s="47"/>
      <c r="AS58" s="47" t="str">
        <f>_xlfn.IFNA(INDEX('[3]3.5.1'!$1:$104,MATCH(AS$4,'[3]3.5.1'!$A:$A,0),MATCH(Summary!$C58,'[3]3.5.1'!$1:$1,0)),"")</f>
        <v/>
      </c>
      <c r="AT58" s="47"/>
      <c r="AU58" s="47"/>
      <c r="AV58" s="47" t="str">
        <f>_xlfn.IFNA(INDEX('[3]3.5.1'!$1:$104,MATCH(AV$4,'[3]3.5.1'!$A:$A,0),MATCH(Summary!$C58,'[3]3.5.1'!$1:$1,0)),"")</f>
        <v/>
      </c>
      <c r="AW58" s="47"/>
      <c r="AX58" s="47"/>
      <c r="AY58" s="47">
        <f>_xlfn.IFNA(INDEX('[3]3.5.1'!$1:$104,MATCH(AY$4,'[3]3.5.1'!$A:$A,0),MATCH(Summary!$C58,'[3]3.5.1'!$1:$1,0)),"")</f>
        <v>137518.278</v>
      </c>
      <c r="AZ58" s="47"/>
      <c r="BA58" s="47"/>
      <c r="BB58" s="47">
        <f>_xlfn.IFNA(INDEX('[3]3.5.1'!$1:$104,MATCH(BB$4,'[3]3.5.1'!$A:$A,0),MATCH(Summary!$C58,'[3]3.5.1'!$1:$1,0)),"")</f>
        <v>132742.938</v>
      </c>
      <c r="BC58" s="47"/>
      <c r="BD58" s="47"/>
      <c r="BE58" s="47" t="str">
        <f>_xlfn.IFNA(INDEX('[3]3.5.1'!$1:$104,MATCH(BE$4,'[3]3.5.1'!$A:$A,0),MATCH(Summary!$C58,'[3]3.5.1'!$1:$1,0)),"")</f>
        <v/>
      </c>
      <c r="BF58" s="47"/>
      <c r="BG58" s="47"/>
      <c r="BH58" s="47" t="str">
        <f>_xlfn.IFNA(INDEX('[3]3.5.1'!$1:$104,MATCH(BH$4,'[3]3.5.1'!$A:$A,0),MATCH(Summary!$C58,'[3]3.5.1'!$1:$1,0)),"")</f>
        <v/>
      </c>
      <c r="BI58" s="47"/>
      <c r="BJ58" s="47"/>
      <c r="BK58" s="47" t="str">
        <f>_xlfn.IFNA(INDEX('[3]3.5.1'!$1:$104,MATCH(BK$4,'[3]3.5.1'!$A:$A,0),MATCH(Summary!$C58,'[3]3.5.1'!$1:$1,0)),"")</f>
        <v/>
      </c>
    </row>
    <row r="59" s="1" customFormat="1" ht="16.5" customHeight="1" outlineLevel="2" spans="1:63">
      <c r="A59" s="22"/>
      <c r="B59" s="22"/>
      <c r="C59" s="22" t="s">
        <v>510</v>
      </c>
      <c r="D59" s="42"/>
      <c r="E59" s="42"/>
      <c r="F59" s="57" t="s">
        <v>115</v>
      </c>
      <c r="G59" s="58" t="s">
        <v>511</v>
      </c>
      <c r="H59" s="45">
        <f t="shared" si="9"/>
        <v>0.0957302811011824</v>
      </c>
      <c r="I59" s="46" t="str">
        <f t="shared" si="10"/>
        <v/>
      </c>
      <c r="J59" s="47"/>
      <c r="K59" s="47"/>
      <c r="L59" s="47" t="str">
        <f>_xlfn.IFNA(INDEX('[3]3.5.1'!$1:$104,MATCH(L$4,'[3]3.5.1'!$A:$A,0),MATCH(Summary!$C59,'[3]3.5.1'!$1:$1,0)),"")</f>
        <v/>
      </c>
      <c r="M59" s="47"/>
      <c r="N59" s="47"/>
      <c r="O59" s="47">
        <f>_xlfn.IFNA(INDEX('[3]3.5.1'!$1:$104,MATCH(O$4,'[3]3.5.1'!$A:$A,0),MATCH(Summary!$C59,'[3]3.5.1'!$1:$1,0)),"")</f>
        <v>1032728.289</v>
      </c>
      <c r="P59" s="47"/>
      <c r="Q59" s="47"/>
      <c r="R59" s="47" t="str">
        <f>_xlfn.IFNA(INDEX('[3]3.5.1'!$1:$104,MATCH(R$4,'[3]3.5.1'!$A:$A,0),MATCH(Summary!$C59,'[3]3.5.1'!$1:$1,0)),"")</f>
        <v/>
      </c>
      <c r="S59" s="47"/>
      <c r="T59" s="47"/>
      <c r="U59" s="47" t="str">
        <f>_xlfn.IFNA(INDEX('[3]3.5.1'!$1:$104,MATCH(U$4,'[3]3.5.1'!$A:$A,0),MATCH(Summary!$C59,'[3]3.5.1'!$1:$1,0)),"")</f>
        <v/>
      </c>
      <c r="V59" s="47"/>
      <c r="W59" s="47"/>
      <c r="X59" s="47">
        <f>_xlfn.IFNA(INDEX('[3]3.5.1'!$1:$104,MATCH(X$4,'[3]3.5.1'!$A:$A,0),MATCH(Summary!$C59,'[3]3.5.1'!$1:$1,0)),"")</f>
        <v>984139.371</v>
      </c>
      <c r="Y59" s="47"/>
      <c r="Z59" s="47"/>
      <c r="AA59" s="47" t="str">
        <f>_xlfn.IFNA(INDEX('[3]3.5.1'!$1:$104,MATCH(AA$4,'[3]3.5.1'!$A:$A,0),MATCH(Summary!$C59,'[3]3.5.1'!$1:$1,0)),"")</f>
        <v/>
      </c>
      <c r="AB59" s="47"/>
      <c r="AC59" s="47"/>
      <c r="AD59" s="47" t="str">
        <f>_xlfn.IFNA(INDEX('[3]3.5.1'!$1:$104,MATCH(AD$4,'[3]3.5.1'!$A:$A,0),MATCH(Summary!$C59,'[3]3.5.1'!$1:$1,0)),"")</f>
        <v/>
      </c>
      <c r="AE59" s="47"/>
      <c r="AF59" s="47"/>
      <c r="AG59" s="47">
        <f>_xlfn.IFNA(INDEX('[3]3.5.1'!$1:$104,MATCH(AG$4,'[3]3.5.1'!$A:$A,0),MATCH(Summary!$C59,'[3]3.5.1'!$1:$1,0)),"")</f>
        <v>940367.197</v>
      </c>
      <c r="AH59" s="47"/>
      <c r="AI59" s="47"/>
      <c r="AJ59" s="47" t="str">
        <f>_xlfn.IFNA(INDEX('[3]3.5.1'!$1:$104,MATCH(AJ$4,'[3]3.5.1'!$A:$A,0),MATCH(Summary!$C59,'[3]3.5.1'!$1:$1,0)),"")</f>
        <v/>
      </c>
      <c r="AK59" s="47"/>
      <c r="AL59" s="47"/>
      <c r="AM59" s="47" t="str">
        <f>_xlfn.IFNA(INDEX('[3]3.5.1'!$1:$104,MATCH(AM$4,'[3]3.5.1'!$A:$A,0),MATCH(Summary!$C59,'[3]3.5.1'!$1:$1,0)),"")</f>
        <v/>
      </c>
      <c r="AN59" s="47"/>
      <c r="AO59" s="47"/>
      <c r="AP59" s="47">
        <f>_xlfn.IFNA(INDEX('[3]3.5.1'!$1:$104,MATCH(AP$4,'[3]3.5.1'!$A:$A,0),MATCH(Summary!$C59,'[3]3.5.1'!$1:$1,0)),"")</f>
        <v>938125.018</v>
      </c>
      <c r="AQ59" s="47"/>
      <c r="AR59" s="47"/>
      <c r="AS59" s="47" t="str">
        <f>_xlfn.IFNA(INDEX('[3]3.5.1'!$1:$104,MATCH(AS$4,'[3]3.5.1'!$A:$A,0),MATCH(Summary!$C59,'[3]3.5.1'!$1:$1,0)),"")</f>
        <v/>
      </c>
      <c r="AT59" s="47"/>
      <c r="AU59" s="47"/>
      <c r="AV59" s="47" t="str">
        <f>_xlfn.IFNA(INDEX('[3]3.5.1'!$1:$104,MATCH(AV$4,'[3]3.5.1'!$A:$A,0),MATCH(Summary!$C59,'[3]3.5.1'!$1:$1,0)),"")</f>
        <v/>
      </c>
      <c r="AW59" s="47"/>
      <c r="AX59" s="47"/>
      <c r="AY59" s="47">
        <f>_xlfn.IFNA(INDEX('[3]3.5.1'!$1:$104,MATCH(AY$4,'[3]3.5.1'!$A:$A,0),MATCH(Summary!$C59,'[3]3.5.1'!$1:$1,0)),"")</f>
        <v>910454.89</v>
      </c>
      <c r="AZ59" s="47"/>
      <c r="BA59" s="47"/>
      <c r="BB59" s="47">
        <f>_xlfn.IFNA(INDEX('[3]3.5.1'!$1:$104,MATCH(BB$4,'[3]3.5.1'!$A:$A,0),MATCH(Summary!$C59,'[3]3.5.1'!$1:$1,0)),"")</f>
        <v>840262.485</v>
      </c>
      <c r="BC59" s="47"/>
      <c r="BD59" s="47"/>
      <c r="BE59" s="47" t="str">
        <f>_xlfn.IFNA(INDEX('[3]3.5.1'!$1:$104,MATCH(BE$4,'[3]3.5.1'!$A:$A,0),MATCH(Summary!$C59,'[3]3.5.1'!$1:$1,0)),"")</f>
        <v/>
      </c>
      <c r="BF59" s="47"/>
      <c r="BG59" s="47"/>
      <c r="BH59" s="47" t="str">
        <f>_xlfn.IFNA(INDEX('[3]3.5.1'!$1:$104,MATCH(BH$4,'[3]3.5.1'!$A:$A,0),MATCH(Summary!$C59,'[3]3.5.1'!$1:$1,0)),"")</f>
        <v/>
      </c>
      <c r="BI59" s="47"/>
      <c r="BJ59" s="47"/>
      <c r="BK59" s="47" t="str">
        <f>_xlfn.IFNA(INDEX('[3]3.5.1'!$1:$104,MATCH(BK$4,'[3]3.5.1'!$A:$A,0),MATCH(Summary!$C59,'[3]3.5.1'!$1:$1,0)),"")</f>
        <v/>
      </c>
    </row>
    <row r="60" s="1" customFormat="1" ht="16.5" hidden="1" customHeight="1" outlineLevel="3" spans="1:63">
      <c r="A60" s="22"/>
      <c r="B60" s="22"/>
      <c r="C60" s="22" t="s">
        <v>512</v>
      </c>
      <c r="D60" s="42"/>
      <c r="E60" s="42"/>
      <c r="F60" s="42" t="s">
        <v>513</v>
      </c>
      <c r="G60" s="44" t="s">
        <v>514</v>
      </c>
      <c r="H60" s="45">
        <f t="shared" si="9"/>
        <v>0.0624935118023136</v>
      </c>
      <c r="I60" s="46" t="str">
        <f t="shared" si="10"/>
        <v/>
      </c>
      <c r="J60" s="47"/>
      <c r="K60" s="47"/>
      <c r="L60" s="47" t="str">
        <f>_xlfn.IFNA(INDEX('[3]3.5.1'!$1:$104,MATCH(L$4,'[3]3.5.1'!$A:$A,0),MATCH(Summary!$C60,'[3]3.5.1'!$1:$1,0)),"")</f>
        <v/>
      </c>
      <c r="M60" s="47"/>
      <c r="N60" s="47"/>
      <c r="O60" s="47">
        <f>_xlfn.IFNA(INDEX('[3]3.5.1'!$1:$104,MATCH(O$4,'[3]3.5.1'!$A:$A,0),MATCH(Summary!$C60,'[3]3.5.1'!$1:$1,0)),"")</f>
        <v>674173.488</v>
      </c>
      <c r="P60" s="47"/>
      <c r="Q60" s="47"/>
      <c r="R60" s="47" t="str">
        <f>_xlfn.IFNA(INDEX('[3]3.5.1'!$1:$104,MATCH(R$4,'[3]3.5.1'!$A:$A,0),MATCH(Summary!$C60,'[3]3.5.1'!$1:$1,0)),"")</f>
        <v/>
      </c>
      <c r="S60" s="47"/>
      <c r="T60" s="47"/>
      <c r="U60" s="47" t="str">
        <f>_xlfn.IFNA(INDEX('[3]3.5.1'!$1:$104,MATCH(U$4,'[3]3.5.1'!$A:$A,0),MATCH(Summary!$C60,'[3]3.5.1'!$1:$1,0)),"")</f>
        <v/>
      </c>
      <c r="V60" s="47"/>
      <c r="W60" s="47"/>
      <c r="X60" s="47">
        <f>_xlfn.IFNA(INDEX('[3]3.5.1'!$1:$104,MATCH(X$4,'[3]3.5.1'!$A:$A,0),MATCH(Summary!$C60,'[3]3.5.1'!$1:$1,0)),"")</f>
        <v>632191.773</v>
      </c>
      <c r="Y60" s="47"/>
      <c r="Z60" s="47"/>
      <c r="AA60" s="47" t="str">
        <f>_xlfn.IFNA(INDEX('[3]3.5.1'!$1:$104,MATCH(AA$4,'[3]3.5.1'!$A:$A,0),MATCH(Summary!$C60,'[3]3.5.1'!$1:$1,0)),"")</f>
        <v/>
      </c>
      <c r="AB60" s="47"/>
      <c r="AC60" s="47"/>
      <c r="AD60" s="47" t="str">
        <f>_xlfn.IFNA(INDEX('[3]3.5.1'!$1:$104,MATCH(AD$4,'[3]3.5.1'!$A:$A,0),MATCH(Summary!$C60,'[3]3.5.1'!$1:$1,0)),"")</f>
        <v/>
      </c>
      <c r="AE60" s="47"/>
      <c r="AF60" s="47"/>
      <c r="AG60" s="47">
        <f>_xlfn.IFNA(INDEX('[3]3.5.1'!$1:$104,MATCH(AG$4,'[3]3.5.1'!$A:$A,0),MATCH(Summary!$C60,'[3]3.5.1'!$1:$1,0)),"")</f>
        <v>602510.589</v>
      </c>
      <c r="AH60" s="47"/>
      <c r="AI60" s="47"/>
      <c r="AJ60" s="47" t="str">
        <f>_xlfn.IFNA(INDEX('[3]3.5.1'!$1:$104,MATCH(AJ$4,'[3]3.5.1'!$A:$A,0),MATCH(Summary!$C60,'[3]3.5.1'!$1:$1,0)),"")</f>
        <v/>
      </c>
      <c r="AK60" s="47"/>
      <c r="AL60" s="47"/>
      <c r="AM60" s="47" t="str">
        <f>_xlfn.IFNA(INDEX('[3]3.5.1'!$1:$104,MATCH(AM$4,'[3]3.5.1'!$A:$A,0),MATCH(Summary!$C60,'[3]3.5.1'!$1:$1,0)),"")</f>
        <v/>
      </c>
      <c r="AN60" s="47"/>
      <c r="AO60" s="47"/>
      <c r="AP60" s="47">
        <f>_xlfn.IFNA(INDEX('[3]3.5.1'!$1:$104,MATCH(AP$4,'[3]3.5.1'!$A:$A,0),MATCH(Summary!$C60,'[3]3.5.1'!$1:$1,0)),"")</f>
        <v>594053.387</v>
      </c>
      <c r="AQ60" s="47"/>
      <c r="AR60" s="47"/>
      <c r="AS60" s="47" t="str">
        <f>_xlfn.IFNA(INDEX('[3]3.5.1'!$1:$104,MATCH(AS$4,'[3]3.5.1'!$A:$A,0),MATCH(Summary!$C60,'[3]3.5.1'!$1:$1,0)),"")</f>
        <v/>
      </c>
      <c r="AT60" s="47"/>
      <c r="AU60" s="47"/>
      <c r="AV60" s="47" t="str">
        <f>_xlfn.IFNA(INDEX('[3]3.5.1'!$1:$104,MATCH(AV$4,'[3]3.5.1'!$A:$A,0),MATCH(Summary!$C60,'[3]3.5.1'!$1:$1,0)),"")</f>
        <v/>
      </c>
      <c r="AW60" s="47"/>
      <c r="AX60" s="47"/>
      <c r="AY60" s="47">
        <f>_xlfn.IFNA(INDEX('[3]3.5.1'!$1:$104,MATCH(AY$4,'[3]3.5.1'!$A:$A,0),MATCH(Summary!$C60,'[3]3.5.1'!$1:$1,0)),"")</f>
        <v>563542.474</v>
      </c>
      <c r="AZ60" s="47"/>
      <c r="BA60" s="47"/>
      <c r="BB60" s="47">
        <f>_xlfn.IFNA(INDEX('[3]3.5.1'!$1:$104,MATCH(BB$4,'[3]3.5.1'!$A:$A,0),MATCH(Summary!$C60,'[3]3.5.1'!$1:$1,0)),"")</f>
        <v>510769.509</v>
      </c>
      <c r="BC60" s="47"/>
      <c r="BD60" s="47"/>
      <c r="BE60" s="47" t="str">
        <f>_xlfn.IFNA(INDEX('[3]3.5.1'!$1:$104,MATCH(BE$4,'[3]3.5.1'!$A:$A,0),MATCH(Summary!$C60,'[3]3.5.1'!$1:$1,0)),"")</f>
        <v/>
      </c>
      <c r="BF60" s="47"/>
      <c r="BG60" s="47"/>
      <c r="BH60" s="47" t="str">
        <f>_xlfn.IFNA(INDEX('[3]3.5.1'!$1:$104,MATCH(BH$4,'[3]3.5.1'!$A:$A,0),MATCH(Summary!$C60,'[3]3.5.1'!$1:$1,0)),"")</f>
        <v/>
      </c>
      <c r="BI60" s="47"/>
      <c r="BJ60" s="47"/>
      <c r="BK60" s="47" t="str">
        <f>_xlfn.IFNA(INDEX('[3]3.5.1'!$1:$104,MATCH(BK$4,'[3]3.5.1'!$A:$A,0),MATCH(Summary!$C60,'[3]3.5.1'!$1:$1,0)),"")</f>
        <v/>
      </c>
    </row>
    <row r="61" s="1" customFormat="1" ht="16.5" hidden="1" customHeight="1" outlineLevel="3" spans="1:63">
      <c r="A61" s="22"/>
      <c r="B61" s="22"/>
      <c r="C61" s="22" t="s">
        <v>515</v>
      </c>
      <c r="D61" s="42"/>
      <c r="E61" s="42"/>
      <c r="F61" s="42" t="s">
        <v>516</v>
      </c>
      <c r="G61" s="44" t="s">
        <v>517</v>
      </c>
      <c r="H61" s="45">
        <f t="shared" si="9"/>
        <v>0.00371146793303372</v>
      </c>
      <c r="I61" s="46" t="str">
        <f t="shared" si="10"/>
        <v/>
      </c>
      <c r="J61" s="47"/>
      <c r="K61" s="47"/>
      <c r="L61" s="47" t="str">
        <f>_xlfn.IFNA(INDEX('[3]3.5.1'!$1:$104,MATCH(L$4,'[3]3.5.1'!$A:$A,0),MATCH(Summary!$C61,'[3]3.5.1'!$1:$1,0)),"")</f>
        <v/>
      </c>
      <c r="M61" s="47"/>
      <c r="N61" s="47"/>
      <c r="O61" s="47">
        <f>_xlfn.IFNA(INDEX('[3]3.5.1'!$1:$104,MATCH(O$4,'[3]3.5.1'!$A:$A,0),MATCH(Summary!$C61,'[3]3.5.1'!$1:$1,0)),"")</f>
        <v>40038.929</v>
      </c>
      <c r="P61" s="47"/>
      <c r="Q61" s="47"/>
      <c r="R61" s="47" t="str">
        <f>_xlfn.IFNA(INDEX('[3]3.5.1'!$1:$104,MATCH(R$4,'[3]3.5.1'!$A:$A,0),MATCH(Summary!$C61,'[3]3.5.1'!$1:$1,0)),"")</f>
        <v/>
      </c>
      <c r="S61" s="47"/>
      <c r="T61" s="47"/>
      <c r="U61" s="47" t="str">
        <f>_xlfn.IFNA(INDEX('[3]3.5.1'!$1:$104,MATCH(U$4,'[3]3.5.1'!$A:$A,0),MATCH(Summary!$C61,'[3]3.5.1'!$1:$1,0)),"")</f>
        <v/>
      </c>
      <c r="V61" s="47"/>
      <c r="W61" s="47"/>
      <c r="X61" s="47">
        <f>_xlfn.IFNA(INDEX('[3]3.5.1'!$1:$104,MATCH(X$4,'[3]3.5.1'!$A:$A,0),MATCH(Summary!$C61,'[3]3.5.1'!$1:$1,0)),"")</f>
        <v>39901.347</v>
      </c>
      <c r="Y61" s="47"/>
      <c r="Z61" s="47"/>
      <c r="AA61" s="47" t="str">
        <f>_xlfn.IFNA(INDEX('[3]3.5.1'!$1:$104,MATCH(AA$4,'[3]3.5.1'!$A:$A,0),MATCH(Summary!$C61,'[3]3.5.1'!$1:$1,0)),"")</f>
        <v/>
      </c>
      <c r="AB61" s="47"/>
      <c r="AC61" s="47"/>
      <c r="AD61" s="47" t="str">
        <f>_xlfn.IFNA(INDEX('[3]3.5.1'!$1:$104,MATCH(AD$4,'[3]3.5.1'!$A:$A,0),MATCH(Summary!$C61,'[3]3.5.1'!$1:$1,0)),"")</f>
        <v/>
      </c>
      <c r="AE61" s="47"/>
      <c r="AF61" s="47"/>
      <c r="AG61" s="47">
        <f>_xlfn.IFNA(INDEX('[3]3.5.1'!$1:$104,MATCH(AG$4,'[3]3.5.1'!$A:$A,0),MATCH(Summary!$C61,'[3]3.5.1'!$1:$1,0)),"")</f>
        <v>37284.217</v>
      </c>
      <c r="AH61" s="47"/>
      <c r="AI61" s="47"/>
      <c r="AJ61" s="47" t="str">
        <f>_xlfn.IFNA(INDEX('[3]3.5.1'!$1:$104,MATCH(AJ$4,'[3]3.5.1'!$A:$A,0),MATCH(Summary!$C61,'[3]3.5.1'!$1:$1,0)),"")</f>
        <v/>
      </c>
      <c r="AK61" s="47"/>
      <c r="AL61" s="47"/>
      <c r="AM61" s="47" t="str">
        <f>_xlfn.IFNA(INDEX('[3]3.5.1'!$1:$104,MATCH(AM$4,'[3]3.5.1'!$A:$A,0),MATCH(Summary!$C61,'[3]3.5.1'!$1:$1,0)),"")</f>
        <v/>
      </c>
      <c r="AN61" s="47"/>
      <c r="AO61" s="47"/>
      <c r="AP61" s="47">
        <f>_xlfn.IFNA(INDEX('[3]3.5.1'!$1:$104,MATCH(AP$4,'[3]3.5.1'!$A:$A,0),MATCH(Summary!$C61,'[3]3.5.1'!$1:$1,0)),"")</f>
        <v>38001.532</v>
      </c>
      <c r="AQ61" s="47"/>
      <c r="AR61" s="47"/>
      <c r="AS61" s="47" t="str">
        <f>_xlfn.IFNA(INDEX('[3]3.5.1'!$1:$104,MATCH(AS$4,'[3]3.5.1'!$A:$A,0),MATCH(Summary!$C61,'[3]3.5.1'!$1:$1,0)),"")</f>
        <v/>
      </c>
      <c r="AT61" s="47"/>
      <c r="AU61" s="47"/>
      <c r="AV61" s="47" t="str">
        <f>_xlfn.IFNA(INDEX('[3]3.5.1'!$1:$104,MATCH(AV$4,'[3]3.5.1'!$A:$A,0),MATCH(Summary!$C61,'[3]3.5.1'!$1:$1,0)),"")</f>
        <v/>
      </c>
      <c r="AW61" s="47"/>
      <c r="AX61" s="47"/>
      <c r="AY61" s="47">
        <f>_xlfn.IFNA(INDEX('[3]3.5.1'!$1:$104,MATCH(AY$4,'[3]3.5.1'!$A:$A,0),MATCH(Summary!$C61,'[3]3.5.1'!$1:$1,0)),"")</f>
        <v>41933.241</v>
      </c>
      <c r="AZ61" s="47"/>
      <c r="BA61" s="47"/>
      <c r="BB61" s="47">
        <f>_xlfn.IFNA(INDEX('[3]3.5.1'!$1:$104,MATCH(BB$4,'[3]3.5.1'!$A:$A,0),MATCH(Summary!$C61,'[3]3.5.1'!$1:$1,0)),"")</f>
        <v>36242.792</v>
      </c>
      <c r="BC61" s="47"/>
      <c r="BD61" s="47"/>
      <c r="BE61" s="47" t="str">
        <f>_xlfn.IFNA(INDEX('[3]3.5.1'!$1:$104,MATCH(BE$4,'[3]3.5.1'!$A:$A,0),MATCH(Summary!$C61,'[3]3.5.1'!$1:$1,0)),"")</f>
        <v/>
      </c>
      <c r="BF61" s="47"/>
      <c r="BG61" s="47"/>
      <c r="BH61" s="47" t="str">
        <f>_xlfn.IFNA(INDEX('[3]3.5.1'!$1:$104,MATCH(BH$4,'[3]3.5.1'!$A:$A,0),MATCH(Summary!$C61,'[3]3.5.1'!$1:$1,0)),"")</f>
        <v/>
      </c>
      <c r="BI61" s="47"/>
      <c r="BJ61" s="47"/>
      <c r="BK61" s="47" t="str">
        <f>_xlfn.IFNA(INDEX('[3]3.5.1'!$1:$104,MATCH(BK$4,'[3]3.5.1'!$A:$A,0),MATCH(Summary!$C61,'[3]3.5.1'!$1:$1,0)),"")</f>
        <v/>
      </c>
    </row>
    <row r="62" s="1" customFormat="1" ht="16.5" hidden="1" customHeight="1" outlineLevel="3" spans="1:63">
      <c r="A62" s="22"/>
      <c r="B62" s="22"/>
      <c r="C62" s="22" t="s">
        <v>518</v>
      </c>
      <c r="D62" s="42"/>
      <c r="E62" s="42"/>
      <c r="F62" s="42" t="s">
        <v>519</v>
      </c>
      <c r="G62" s="44" t="s">
        <v>520</v>
      </c>
      <c r="H62" s="45">
        <f t="shared" si="9"/>
        <v>0.000207341455619737</v>
      </c>
      <c r="I62" s="46" t="str">
        <f t="shared" si="10"/>
        <v/>
      </c>
      <c r="J62" s="47"/>
      <c r="K62" s="47"/>
      <c r="L62" s="47" t="str">
        <f>_xlfn.IFNA(INDEX('[3]3.5.1'!$1:$104,MATCH(L$4,'[3]3.5.1'!$A:$A,0),MATCH(Summary!$C62,'[3]3.5.1'!$1:$1,0)),"")</f>
        <v/>
      </c>
      <c r="M62" s="47"/>
      <c r="N62" s="47"/>
      <c r="O62" s="47">
        <f>_xlfn.IFNA(INDEX('[3]3.5.1'!$1:$104,MATCH(O$4,'[3]3.5.1'!$A:$A,0),MATCH(Summary!$C62,'[3]3.5.1'!$1:$1,0)),"")</f>
        <v>2236.778</v>
      </c>
      <c r="P62" s="47"/>
      <c r="Q62" s="47"/>
      <c r="R62" s="47" t="str">
        <f>_xlfn.IFNA(INDEX('[3]3.5.1'!$1:$104,MATCH(R$4,'[3]3.5.1'!$A:$A,0),MATCH(Summary!$C62,'[3]3.5.1'!$1:$1,0)),"")</f>
        <v/>
      </c>
      <c r="S62" s="47"/>
      <c r="T62" s="47"/>
      <c r="U62" s="47" t="str">
        <f>_xlfn.IFNA(INDEX('[3]3.5.1'!$1:$104,MATCH(U$4,'[3]3.5.1'!$A:$A,0),MATCH(Summary!$C62,'[3]3.5.1'!$1:$1,0)),"")</f>
        <v/>
      </c>
      <c r="V62" s="47"/>
      <c r="W62" s="47"/>
      <c r="X62" s="47">
        <f>_xlfn.IFNA(INDEX('[3]3.5.1'!$1:$104,MATCH(X$4,'[3]3.5.1'!$A:$A,0),MATCH(Summary!$C62,'[3]3.5.1'!$1:$1,0)),"")</f>
        <v>1445.849</v>
      </c>
      <c r="Y62" s="47"/>
      <c r="Z62" s="47"/>
      <c r="AA62" s="47" t="str">
        <f>_xlfn.IFNA(INDEX('[3]3.5.1'!$1:$104,MATCH(AA$4,'[3]3.5.1'!$A:$A,0),MATCH(Summary!$C62,'[3]3.5.1'!$1:$1,0)),"")</f>
        <v/>
      </c>
      <c r="AB62" s="47"/>
      <c r="AC62" s="47"/>
      <c r="AD62" s="47" t="str">
        <f>_xlfn.IFNA(INDEX('[3]3.5.1'!$1:$104,MATCH(AD$4,'[3]3.5.1'!$A:$A,0),MATCH(Summary!$C62,'[3]3.5.1'!$1:$1,0)),"")</f>
        <v/>
      </c>
      <c r="AE62" s="47"/>
      <c r="AF62" s="47"/>
      <c r="AG62" s="47">
        <f>_xlfn.IFNA(INDEX('[3]3.5.1'!$1:$104,MATCH(AG$4,'[3]3.5.1'!$A:$A,0),MATCH(Summary!$C62,'[3]3.5.1'!$1:$1,0)),"")</f>
        <v>2160.781</v>
      </c>
      <c r="AH62" s="47"/>
      <c r="AI62" s="47"/>
      <c r="AJ62" s="47" t="str">
        <f>_xlfn.IFNA(INDEX('[3]3.5.1'!$1:$104,MATCH(AJ$4,'[3]3.5.1'!$A:$A,0),MATCH(Summary!$C62,'[3]3.5.1'!$1:$1,0)),"")</f>
        <v/>
      </c>
      <c r="AK62" s="47"/>
      <c r="AL62" s="47"/>
      <c r="AM62" s="47" t="str">
        <f>_xlfn.IFNA(INDEX('[3]3.5.1'!$1:$104,MATCH(AM$4,'[3]3.5.1'!$A:$A,0),MATCH(Summary!$C62,'[3]3.5.1'!$1:$1,0)),"")</f>
        <v/>
      </c>
      <c r="AN62" s="47"/>
      <c r="AO62" s="47"/>
      <c r="AP62" s="47">
        <f>_xlfn.IFNA(INDEX('[3]3.5.1'!$1:$104,MATCH(AP$4,'[3]3.5.1'!$A:$A,0),MATCH(Summary!$C62,'[3]3.5.1'!$1:$1,0)),"")</f>
        <v>2308.27</v>
      </c>
      <c r="AQ62" s="47"/>
      <c r="AR62" s="47"/>
      <c r="AS62" s="47" t="str">
        <f>_xlfn.IFNA(INDEX('[3]3.5.1'!$1:$104,MATCH(AS$4,'[3]3.5.1'!$A:$A,0),MATCH(Summary!$C62,'[3]3.5.1'!$1:$1,0)),"")</f>
        <v/>
      </c>
      <c r="AT62" s="47"/>
      <c r="AU62" s="47"/>
      <c r="AV62" s="47" t="str">
        <f>_xlfn.IFNA(INDEX('[3]3.5.1'!$1:$104,MATCH(AV$4,'[3]3.5.1'!$A:$A,0),MATCH(Summary!$C62,'[3]3.5.1'!$1:$1,0)),"")</f>
        <v/>
      </c>
      <c r="AW62" s="47"/>
      <c r="AX62" s="47"/>
      <c r="AY62" s="47">
        <f>_xlfn.IFNA(INDEX('[3]3.5.1'!$1:$104,MATCH(AY$4,'[3]3.5.1'!$A:$A,0),MATCH(Summary!$C62,'[3]3.5.1'!$1:$1,0)),"")</f>
        <v>104.891</v>
      </c>
      <c r="AZ62" s="47"/>
      <c r="BA62" s="47"/>
      <c r="BB62" s="47">
        <f>_xlfn.IFNA(INDEX('[3]3.5.1'!$1:$104,MATCH(BB$4,'[3]3.5.1'!$A:$A,0),MATCH(Summary!$C62,'[3]3.5.1'!$1:$1,0)),"")</f>
        <v>282.178</v>
      </c>
      <c r="BC62" s="47"/>
      <c r="BD62" s="47"/>
      <c r="BE62" s="47" t="str">
        <f>_xlfn.IFNA(INDEX('[3]3.5.1'!$1:$104,MATCH(BE$4,'[3]3.5.1'!$A:$A,0),MATCH(Summary!$C62,'[3]3.5.1'!$1:$1,0)),"")</f>
        <v/>
      </c>
      <c r="BF62" s="47"/>
      <c r="BG62" s="47"/>
      <c r="BH62" s="47" t="str">
        <f>_xlfn.IFNA(INDEX('[3]3.5.1'!$1:$104,MATCH(BH$4,'[3]3.5.1'!$A:$A,0),MATCH(Summary!$C62,'[3]3.5.1'!$1:$1,0)),"")</f>
        <v/>
      </c>
      <c r="BI62" s="47"/>
      <c r="BJ62" s="47"/>
      <c r="BK62" s="47" t="str">
        <f>_xlfn.IFNA(INDEX('[3]3.5.1'!$1:$104,MATCH(BK$4,'[3]3.5.1'!$A:$A,0),MATCH(Summary!$C62,'[3]3.5.1'!$1:$1,0)),"")</f>
        <v/>
      </c>
    </row>
    <row r="63" s="1" customFormat="1" ht="16.5" hidden="1" customHeight="1" outlineLevel="3" spans="1:63">
      <c r="A63" s="22"/>
      <c r="B63" s="22"/>
      <c r="C63" s="22" t="s">
        <v>521</v>
      </c>
      <c r="D63" s="42"/>
      <c r="E63" s="42"/>
      <c r="F63" s="42" t="s">
        <v>522</v>
      </c>
      <c r="G63" s="44" t="s">
        <v>523</v>
      </c>
      <c r="H63" s="45">
        <f t="shared" si="9"/>
        <v>0.0293179599102153</v>
      </c>
      <c r="I63" s="46" t="str">
        <f t="shared" si="10"/>
        <v/>
      </c>
      <c r="J63" s="47"/>
      <c r="K63" s="47"/>
      <c r="L63" s="47" t="str">
        <f>_xlfn.IFNA(INDEX('[3]3.5.1'!$1:$104,MATCH(L$4,'[3]3.5.1'!$A:$A,0),MATCH(Summary!$C63,'[3]3.5.1'!$1:$1,0)),"")</f>
        <v/>
      </c>
      <c r="M63" s="47"/>
      <c r="N63" s="47"/>
      <c r="O63" s="47">
        <f>_xlfn.IFNA(INDEX('[3]3.5.1'!$1:$104,MATCH(O$4,'[3]3.5.1'!$A:$A,0),MATCH(Summary!$C63,'[3]3.5.1'!$1:$1,0)),"")</f>
        <v>316279.094</v>
      </c>
      <c r="P63" s="47"/>
      <c r="Q63" s="47"/>
      <c r="R63" s="47" t="str">
        <f>_xlfn.IFNA(INDEX('[3]3.5.1'!$1:$104,MATCH(R$4,'[3]3.5.1'!$A:$A,0),MATCH(Summary!$C63,'[3]3.5.1'!$1:$1,0)),"")</f>
        <v/>
      </c>
      <c r="S63" s="47"/>
      <c r="T63" s="47"/>
      <c r="U63" s="47" t="str">
        <f>_xlfn.IFNA(INDEX('[3]3.5.1'!$1:$104,MATCH(U$4,'[3]3.5.1'!$A:$A,0),MATCH(Summary!$C63,'[3]3.5.1'!$1:$1,0)),"")</f>
        <v/>
      </c>
      <c r="V63" s="47"/>
      <c r="W63" s="47"/>
      <c r="X63" s="47">
        <f>_xlfn.IFNA(INDEX('[3]3.5.1'!$1:$104,MATCH(X$4,'[3]3.5.1'!$A:$A,0),MATCH(Summary!$C63,'[3]3.5.1'!$1:$1,0)),"")</f>
        <v>310600.402</v>
      </c>
      <c r="Y63" s="47"/>
      <c r="Z63" s="47"/>
      <c r="AA63" s="47" t="str">
        <f>_xlfn.IFNA(INDEX('[3]3.5.1'!$1:$104,MATCH(AA$4,'[3]3.5.1'!$A:$A,0),MATCH(Summary!$C63,'[3]3.5.1'!$1:$1,0)),"")</f>
        <v/>
      </c>
      <c r="AB63" s="47"/>
      <c r="AC63" s="47"/>
      <c r="AD63" s="47" t="str">
        <f>_xlfn.IFNA(INDEX('[3]3.5.1'!$1:$104,MATCH(AD$4,'[3]3.5.1'!$A:$A,0),MATCH(Summary!$C63,'[3]3.5.1'!$1:$1,0)),"")</f>
        <v/>
      </c>
      <c r="AE63" s="47"/>
      <c r="AF63" s="47"/>
      <c r="AG63" s="47">
        <f>_xlfn.IFNA(INDEX('[3]3.5.1'!$1:$104,MATCH(AG$4,'[3]3.5.1'!$A:$A,0),MATCH(Summary!$C63,'[3]3.5.1'!$1:$1,0)),"")</f>
        <v>298411.61</v>
      </c>
      <c r="AH63" s="47"/>
      <c r="AI63" s="47"/>
      <c r="AJ63" s="47" t="str">
        <f>_xlfn.IFNA(INDEX('[3]3.5.1'!$1:$104,MATCH(AJ$4,'[3]3.5.1'!$A:$A,0),MATCH(Summary!$C63,'[3]3.5.1'!$1:$1,0)),"")</f>
        <v/>
      </c>
      <c r="AK63" s="47"/>
      <c r="AL63" s="47"/>
      <c r="AM63" s="47" t="str">
        <f>_xlfn.IFNA(INDEX('[3]3.5.1'!$1:$104,MATCH(AM$4,'[3]3.5.1'!$A:$A,0),MATCH(Summary!$C63,'[3]3.5.1'!$1:$1,0)),"")</f>
        <v/>
      </c>
      <c r="AN63" s="47"/>
      <c r="AO63" s="47"/>
      <c r="AP63" s="47">
        <f>_xlfn.IFNA(INDEX('[3]3.5.1'!$1:$104,MATCH(AP$4,'[3]3.5.1'!$A:$A,0),MATCH(Summary!$C63,'[3]3.5.1'!$1:$1,0)),"")</f>
        <v>303761.829</v>
      </c>
      <c r="AQ63" s="47"/>
      <c r="AR63" s="47"/>
      <c r="AS63" s="47" t="str">
        <f>_xlfn.IFNA(INDEX('[3]3.5.1'!$1:$104,MATCH(AS$4,'[3]3.5.1'!$A:$A,0),MATCH(Summary!$C63,'[3]3.5.1'!$1:$1,0)),"")</f>
        <v/>
      </c>
      <c r="AT63" s="47"/>
      <c r="AU63" s="47"/>
      <c r="AV63" s="47" t="str">
        <f>_xlfn.IFNA(INDEX('[3]3.5.1'!$1:$104,MATCH(AV$4,'[3]3.5.1'!$A:$A,0),MATCH(Summary!$C63,'[3]3.5.1'!$1:$1,0)),"")</f>
        <v/>
      </c>
      <c r="AW63" s="47"/>
      <c r="AX63" s="47"/>
      <c r="AY63" s="47">
        <f>_xlfn.IFNA(INDEX('[3]3.5.1'!$1:$104,MATCH(AY$4,'[3]3.5.1'!$A:$A,0),MATCH(Summary!$C63,'[3]3.5.1'!$1:$1,0)),"")</f>
        <v>304874.284</v>
      </c>
      <c r="AZ63" s="47"/>
      <c r="BA63" s="47"/>
      <c r="BB63" s="47">
        <f>_xlfn.IFNA(INDEX('[3]3.5.1'!$1:$104,MATCH(BB$4,'[3]3.5.1'!$A:$A,0),MATCH(Summary!$C63,'[3]3.5.1'!$1:$1,0)),"")</f>
        <v>292968.006</v>
      </c>
      <c r="BC63" s="47"/>
      <c r="BD63" s="47"/>
      <c r="BE63" s="47" t="str">
        <f>_xlfn.IFNA(INDEX('[3]3.5.1'!$1:$104,MATCH(BE$4,'[3]3.5.1'!$A:$A,0),MATCH(Summary!$C63,'[3]3.5.1'!$1:$1,0)),"")</f>
        <v/>
      </c>
      <c r="BF63" s="47"/>
      <c r="BG63" s="47"/>
      <c r="BH63" s="47" t="str">
        <f>_xlfn.IFNA(INDEX('[3]3.5.1'!$1:$104,MATCH(BH$4,'[3]3.5.1'!$A:$A,0),MATCH(Summary!$C63,'[3]3.5.1'!$1:$1,0)),"")</f>
        <v/>
      </c>
      <c r="BI63" s="47"/>
      <c r="BJ63" s="47"/>
      <c r="BK63" s="47" t="str">
        <f>_xlfn.IFNA(INDEX('[3]3.5.1'!$1:$104,MATCH(BK$4,'[3]3.5.1'!$A:$A,0),MATCH(Summary!$C63,'[3]3.5.1'!$1:$1,0)),"")</f>
        <v/>
      </c>
    </row>
    <row r="64" s="1" customFormat="1" ht="16.5" customHeight="1" outlineLevel="2" collapsed="1" spans="1:63">
      <c r="A64" s="22"/>
      <c r="B64" s="22"/>
      <c r="C64" s="22" t="s">
        <v>524</v>
      </c>
      <c r="D64" s="42"/>
      <c r="E64" s="42"/>
      <c r="F64" s="57" t="s">
        <v>525</v>
      </c>
      <c r="G64" s="58" t="s">
        <v>526</v>
      </c>
      <c r="H64" s="45">
        <f t="shared" si="9"/>
        <v>0.00924064448353095</v>
      </c>
      <c r="I64" s="46" t="str">
        <f t="shared" si="10"/>
        <v/>
      </c>
      <c r="J64" s="47"/>
      <c r="K64" s="47"/>
      <c r="L64" s="47" t="str">
        <f>_xlfn.IFNA(INDEX('[3]3.5.1'!$1:$104,MATCH(L$4,'[3]3.5.1'!$A:$A,0),MATCH(Summary!$C64,'[3]3.5.1'!$1:$1,0)),"")</f>
        <v/>
      </c>
      <c r="M64" s="47"/>
      <c r="N64" s="47"/>
      <c r="O64" s="47">
        <f>_xlfn.IFNA(INDEX('[3]3.5.1'!$1:$104,MATCH(O$4,'[3]3.5.1'!$A:$A,0),MATCH(Summary!$C64,'[3]3.5.1'!$1:$1,0)),"")</f>
        <v>99687.109</v>
      </c>
      <c r="P64" s="47"/>
      <c r="Q64" s="47"/>
      <c r="R64" s="47" t="str">
        <f>_xlfn.IFNA(INDEX('[3]3.5.1'!$1:$104,MATCH(R$4,'[3]3.5.1'!$A:$A,0),MATCH(Summary!$C64,'[3]3.5.1'!$1:$1,0)),"")</f>
        <v/>
      </c>
      <c r="S64" s="47"/>
      <c r="T64" s="47"/>
      <c r="U64" s="47" t="str">
        <f>_xlfn.IFNA(INDEX('[3]3.5.1'!$1:$104,MATCH(U$4,'[3]3.5.1'!$A:$A,0),MATCH(Summary!$C64,'[3]3.5.1'!$1:$1,0)),"")</f>
        <v/>
      </c>
      <c r="V64" s="47"/>
      <c r="W64" s="47"/>
      <c r="X64" s="47">
        <f>_xlfn.IFNA(INDEX('[3]3.5.1'!$1:$104,MATCH(X$4,'[3]3.5.1'!$A:$A,0),MATCH(Summary!$C64,'[3]3.5.1'!$1:$1,0)),"")</f>
        <v>86607.603</v>
      </c>
      <c r="Y64" s="47"/>
      <c r="Z64" s="47"/>
      <c r="AA64" s="47" t="str">
        <f>_xlfn.IFNA(INDEX('[3]3.5.1'!$1:$104,MATCH(AA$4,'[3]3.5.1'!$A:$A,0),MATCH(Summary!$C64,'[3]3.5.1'!$1:$1,0)),"")</f>
        <v/>
      </c>
      <c r="AB64" s="47"/>
      <c r="AC64" s="47"/>
      <c r="AD64" s="47" t="str">
        <f>_xlfn.IFNA(INDEX('[3]3.5.1'!$1:$104,MATCH(AD$4,'[3]3.5.1'!$A:$A,0),MATCH(Summary!$C64,'[3]3.5.1'!$1:$1,0)),"")</f>
        <v/>
      </c>
      <c r="AE64" s="47"/>
      <c r="AF64" s="47"/>
      <c r="AG64" s="47">
        <f>_xlfn.IFNA(INDEX('[3]3.5.1'!$1:$104,MATCH(AG$4,'[3]3.5.1'!$A:$A,0),MATCH(Summary!$C64,'[3]3.5.1'!$1:$1,0)),"")</f>
        <v>63461.214</v>
      </c>
      <c r="AH64" s="47"/>
      <c r="AI64" s="47"/>
      <c r="AJ64" s="47" t="str">
        <f>_xlfn.IFNA(INDEX('[3]3.5.1'!$1:$104,MATCH(AJ$4,'[3]3.5.1'!$A:$A,0),MATCH(Summary!$C64,'[3]3.5.1'!$1:$1,0)),"")</f>
        <v/>
      </c>
      <c r="AK64" s="47"/>
      <c r="AL64" s="47"/>
      <c r="AM64" s="47" t="str">
        <f>_xlfn.IFNA(INDEX('[3]3.5.1'!$1:$104,MATCH(AM$4,'[3]3.5.1'!$A:$A,0),MATCH(Summary!$C64,'[3]3.5.1'!$1:$1,0)),"")</f>
        <v/>
      </c>
      <c r="AN64" s="47"/>
      <c r="AO64" s="47"/>
      <c r="AP64" s="47">
        <f>_xlfn.IFNA(INDEX('[3]3.5.1'!$1:$104,MATCH(AP$4,'[3]3.5.1'!$A:$A,0),MATCH(Summary!$C64,'[3]3.5.1'!$1:$1,0)),"")</f>
        <v>63510.261</v>
      </c>
      <c r="AQ64" s="47"/>
      <c r="AR64" s="47"/>
      <c r="AS64" s="47" t="str">
        <f>_xlfn.IFNA(INDEX('[3]3.5.1'!$1:$104,MATCH(AS$4,'[3]3.5.1'!$A:$A,0),MATCH(Summary!$C64,'[3]3.5.1'!$1:$1,0)),"")</f>
        <v/>
      </c>
      <c r="AT64" s="47"/>
      <c r="AU64" s="47"/>
      <c r="AV64" s="47" t="str">
        <f>_xlfn.IFNA(INDEX('[3]3.5.1'!$1:$104,MATCH(AV$4,'[3]3.5.1'!$A:$A,0),MATCH(Summary!$C64,'[3]3.5.1'!$1:$1,0)),"")</f>
        <v/>
      </c>
      <c r="AW64" s="47"/>
      <c r="AX64" s="47"/>
      <c r="AY64" s="47">
        <f>_xlfn.IFNA(INDEX('[3]3.5.1'!$1:$104,MATCH(AY$4,'[3]3.5.1'!$A:$A,0),MATCH(Summary!$C64,'[3]3.5.1'!$1:$1,0)),"")</f>
        <v>63239.895</v>
      </c>
      <c r="AZ64" s="47"/>
      <c r="BA64" s="47"/>
      <c r="BB64" s="47">
        <f>_xlfn.IFNA(INDEX('[3]3.5.1'!$1:$104,MATCH(BB$4,'[3]3.5.1'!$A:$A,0),MATCH(Summary!$C64,'[3]3.5.1'!$1:$1,0)),"")</f>
        <v>49168.879</v>
      </c>
      <c r="BC64" s="47"/>
      <c r="BD64" s="47"/>
      <c r="BE64" s="47" t="str">
        <f>_xlfn.IFNA(INDEX('[3]3.5.1'!$1:$104,MATCH(BE$4,'[3]3.5.1'!$A:$A,0),MATCH(Summary!$C64,'[3]3.5.1'!$1:$1,0)),"")</f>
        <v/>
      </c>
      <c r="BF64" s="47"/>
      <c r="BG64" s="47"/>
      <c r="BH64" s="47" t="str">
        <f>_xlfn.IFNA(INDEX('[3]3.5.1'!$1:$104,MATCH(BH$4,'[3]3.5.1'!$A:$A,0),MATCH(Summary!$C64,'[3]3.5.1'!$1:$1,0)),"")</f>
        <v/>
      </c>
      <c r="BI64" s="47"/>
      <c r="BJ64" s="47"/>
      <c r="BK64" s="47" t="str">
        <f>_xlfn.IFNA(INDEX('[3]3.5.1'!$1:$104,MATCH(BK$4,'[3]3.5.1'!$A:$A,0),MATCH(Summary!$C64,'[3]3.5.1'!$1:$1,0)),"")</f>
        <v/>
      </c>
    </row>
    <row r="65" s="1" customFormat="1" ht="16.5" customHeight="1" outlineLevel="2" spans="1:63">
      <c r="A65" s="22"/>
      <c r="B65" s="22"/>
      <c r="C65" s="22" t="s">
        <v>527</v>
      </c>
      <c r="D65" s="42"/>
      <c r="E65" s="42"/>
      <c r="F65" s="57" t="s">
        <v>528</v>
      </c>
      <c r="G65" s="58" t="s">
        <v>529</v>
      </c>
      <c r="H65" s="45">
        <f t="shared" si="9"/>
        <v>0.285182477021706</v>
      </c>
      <c r="I65" s="46" t="str">
        <f t="shared" si="10"/>
        <v/>
      </c>
      <c r="J65" s="47"/>
      <c r="K65" s="47"/>
      <c r="L65" s="47" t="str">
        <f>_xlfn.IFNA(INDEX('[3]3.5.1'!$1:$104,MATCH(L$4,'[3]3.5.1'!$A:$A,0),MATCH(Summary!$C65,'[3]3.5.1'!$1:$1,0)),"")</f>
        <v/>
      </c>
      <c r="M65" s="47"/>
      <c r="N65" s="47"/>
      <c r="O65" s="47">
        <f>_xlfn.IFNA(INDEX('[3]3.5.1'!$1:$104,MATCH(O$4,'[3]3.5.1'!$A:$A,0),MATCH(Summary!$C65,'[3]3.5.1'!$1:$1,0)),"")</f>
        <v>3076518.821</v>
      </c>
      <c r="P65" s="47"/>
      <c r="Q65" s="47"/>
      <c r="R65" s="47" t="str">
        <f>_xlfn.IFNA(INDEX('[3]3.5.1'!$1:$104,MATCH(R$4,'[3]3.5.1'!$A:$A,0),MATCH(Summary!$C65,'[3]3.5.1'!$1:$1,0)),"")</f>
        <v/>
      </c>
      <c r="S65" s="47"/>
      <c r="T65" s="47"/>
      <c r="U65" s="47" t="str">
        <f>_xlfn.IFNA(INDEX('[3]3.5.1'!$1:$104,MATCH(U$4,'[3]3.5.1'!$A:$A,0),MATCH(Summary!$C65,'[3]3.5.1'!$1:$1,0)),"")</f>
        <v/>
      </c>
      <c r="V65" s="47"/>
      <c r="W65" s="47"/>
      <c r="X65" s="47">
        <f>_xlfn.IFNA(INDEX('[3]3.5.1'!$1:$104,MATCH(X$4,'[3]3.5.1'!$A:$A,0),MATCH(Summary!$C65,'[3]3.5.1'!$1:$1,0)),"")</f>
        <v>3001339.74</v>
      </c>
      <c r="Y65" s="47"/>
      <c r="Z65" s="47"/>
      <c r="AA65" s="47" t="str">
        <f>_xlfn.IFNA(INDEX('[3]3.5.1'!$1:$104,MATCH(AA$4,'[3]3.5.1'!$A:$A,0),MATCH(Summary!$C65,'[3]3.5.1'!$1:$1,0)),"")</f>
        <v/>
      </c>
      <c r="AB65" s="47"/>
      <c r="AC65" s="47"/>
      <c r="AD65" s="47" t="str">
        <f>_xlfn.IFNA(INDEX('[3]3.5.1'!$1:$104,MATCH(AD$4,'[3]3.5.1'!$A:$A,0),MATCH(Summary!$C65,'[3]3.5.1'!$1:$1,0)),"")</f>
        <v/>
      </c>
      <c r="AE65" s="47"/>
      <c r="AF65" s="47"/>
      <c r="AG65" s="47">
        <f>_xlfn.IFNA(INDEX('[3]3.5.1'!$1:$104,MATCH(AG$4,'[3]3.5.1'!$A:$A,0),MATCH(Summary!$C65,'[3]3.5.1'!$1:$1,0)),"")</f>
        <v>2922795.223</v>
      </c>
      <c r="AH65" s="47"/>
      <c r="AI65" s="47"/>
      <c r="AJ65" s="47" t="str">
        <f>_xlfn.IFNA(INDEX('[3]3.5.1'!$1:$104,MATCH(AJ$4,'[3]3.5.1'!$A:$A,0),MATCH(Summary!$C65,'[3]3.5.1'!$1:$1,0)),"")</f>
        <v/>
      </c>
      <c r="AK65" s="47"/>
      <c r="AL65" s="47"/>
      <c r="AM65" s="47" t="str">
        <f>_xlfn.IFNA(INDEX('[3]3.5.1'!$1:$104,MATCH(AM$4,'[3]3.5.1'!$A:$A,0),MATCH(Summary!$C65,'[3]3.5.1'!$1:$1,0)),"")</f>
        <v/>
      </c>
      <c r="AN65" s="47"/>
      <c r="AO65" s="47"/>
      <c r="AP65" s="47">
        <f>_xlfn.IFNA(INDEX('[3]3.5.1'!$1:$104,MATCH(AP$4,'[3]3.5.1'!$A:$A,0),MATCH(Summary!$C65,'[3]3.5.1'!$1:$1,0)),"")</f>
        <v>2879906.113</v>
      </c>
      <c r="AQ65" s="47"/>
      <c r="AR65" s="47"/>
      <c r="AS65" s="47" t="str">
        <f>_xlfn.IFNA(INDEX('[3]3.5.1'!$1:$104,MATCH(AS$4,'[3]3.5.1'!$A:$A,0),MATCH(Summary!$C65,'[3]3.5.1'!$1:$1,0)),"")</f>
        <v/>
      </c>
      <c r="AT65" s="47"/>
      <c r="AU65" s="47"/>
      <c r="AV65" s="47" t="str">
        <f>_xlfn.IFNA(INDEX('[3]3.5.1'!$1:$104,MATCH(AV$4,'[3]3.5.1'!$A:$A,0),MATCH(Summary!$C65,'[3]3.5.1'!$1:$1,0)),"")</f>
        <v/>
      </c>
      <c r="AW65" s="47"/>
      <c r="AX65" s="47"/>
      <c r="AY65" s="47">
        <f>_xlfn.IFNA(INDEX('[3]3.5.1'!$1:$104,MATCH(AY$4,'[3]3.5.1'!$A:$A,0),MATCH(Summary!$C65,'[3]3.5.1'!$1:$1,0)),"")</f>
        <v>2845525.356</v>
      </c>
      <c r="AZ65" s="47"/>
      <c r="BA65" s="47"/>
      <c r="BB65" s="47">
        <f>_xlfn.IFNA(INDEX('[3]3.5.1'!$1:$104,MATCH(BB$4,'[3]3.5.1'!$A:$A,0),MATCH(Summary!$C65,'[3]3.5.1'!$1:$1,0)),"")</f>
        <v>2795671.762</v>
      </c>
      <c r="BC65" s="47"/>
      <c r="BD65" s="47"/>
      <c r="BE65" s="47" t="str">
        <f>_xlfn.IFNA(INDEX('[3]3.5.1'!$1:$104,MATCH(BE$4,'[3]3.5.1'!$A:$A,0),MATCH(Summary!$C65,'[3]3.5.1'!$1:$1,0)),"")</f>
        <v/>
      </c>
      <c r="BF65" s="47"/>
      <c r="BG65" s="47"/>
      <c r="BH65" s="47" t="str">
        <f>_xlfn.IFNA(INDEX('[3]3.5.1'!$1:$104,MATCH(BH$4,'[3]3.5.1'!$A:$A,0),MATCH(Summary!$C65,'[3]3.5.1'!$1:$1,0)),"")</f>
        <v/>
      </c>
      <c r="BI65" s="47"/>
      <c r="BJ65" s="47"/>
      <c r="BK65" s="47" t="str">
        <f>_xlfn.IFNA(INDEX('[3]3.5.1'!$1:$104,MATCH(BK$4,'[3]3.5.1'!$A:$A,0),MATCH(Summary!$C65,'[3]3.5.1'!$1:$1,0)),"")</f>
        <v/>
      </c>
    </row>
    <row r="66" s="1" customFormat="1" ht="16.5" customHeight="1" outlineLevel="3" spans="1:63">
      <c r="A66" s="22"/>
      <c r="B66" s="22"/>
      <c r="C66" s="22" t="s">
        <v>530</v>
      </c>
      <c r="D66" s="42"/>
      <c r="E66" s="42"/>
      <c r="F66" s="42" t="s">
        <v>531</v>
      </c>
      <c r="G66" s="44" t="s">
        <v>532</v>
      </c>
      <c r="H66" s="45">
        <f t="shared" si="9"/>
        <v>0.0155373587653013</v>
      </c>
      <c r="I66" s="46" t="str">
        <f t="shared" si="10"/>
        <v/>
      </c>
      <c r="J66" s="47"/>
      <c r="K66" s="47"/>
      <c r="L66" s="47" t="str">
        <f>_xlfn.IFNA(INDEX('[3]3.5.1'!$1:$104,MATCH(L$4,'[3]3.5.1'!$A:$A,0),MATCH(Summary!$C66,'[3]3.5.1'!$1:$1,0)),"")</f>
        <v/>
      </c>
      <c r="M66" s="47"/>
      <c r="N66" s="47"/>
      <c r="O66" s="47">
        <f>_xlfn.IFNA(INDEX('[3]3.5.1'!$1:$104,MATCH(O$4,'[3]3.5.1'!$A:$A,0),MATCH(Summary!$C66,'[3]3.5.1'!$1:$1,0)),"")</f>
        <v>167615.406</v>
      </c>
      <c r="P66" s="47"/>
      <c r="Q66" s="47"/>
      <c r="R66" s="47" t="str">
        <f>_xlfn.IFNA(INDEX('[3]3.5.1'!$1:$104,MATCH(R$4,'[3]3.5.1'!$A:$A,0),MATCH(Summary!$C66,'[3]3.5.1'!$1:$1,0)),"")</f>
        <v/>
      </c>
      <c r="S66" s="47"/>
      <c r="T66" s="47"/>
      <c r="U66" s="47" t="str">
        <f>_xlfn.IFNA(INDEX('[3]3.5.1'!$1:$104,MATCH(U$4,'[3]3.5.1'!$A:$A,0),MATCH(Summary!$C66,'[3]3.5.1'!$1:$1,0)),"")</f>
        <v/>
      </c>
      <c r="V66" s="47"/>
      <c r="W66" s="47"/>
      <c r="X66" s="47">
        <f>_xlfn.IFNA(INDEX('[3]3.5.1'!$1:$104,MATCH(X$4,'[3]3.5.1'!$A:$A,0),MATCH(Summary!$C66,'[3]3.5.1'!$1:$1,0)),"")</f>
        <v>156519.886</v>
      </c>
      <c r="Y66" s="47"/>
      <c r="Z66" s="47"/>
      <c r="AA66" s="47" t="str">
        <f>_xlfn.IFNA(INDEX('[3]3.5.1'!$1:$104,MATCH(AA$4,'[3]3.5.1'!$A:$A,0),MATCH(Summary!$C66,'[3]3.5.1'!$1:$1,0)),"")</f>
        <v/>
      </c>
      <c r="AB66" s="47"/>
      <c r="AC66" s="47"/>
      <c r="AD66" s="47" t="str">
        <f>_xlfn.IFNA(INDEX('[3]3.5.1'!$1:$104,MATCH(AD$4,'[3]3.5.1'!$A:$A,0),MATCH(Summary!$C66,'[3]3.5.1'!$1:$1,0)),"")</f>
        <v/>
      </c>
      <c r="AE66" s="47"/>
      <c r="AF66" s="47"/>
      <c r="AG66" s="47">
        <f>_xlfn.IFNA(INDEX('[3]3.5.1'!$1:$104,MATCH(AG$4,'[3]3.5.1'!$A:$A,0),MATCH(Summary!$C66,'[3]3.5.1'!$1:$1,0)),"")</f>
        <v>153280.41</v>
      </c>
      <c r="AH66" s="47"/>
      <c r="AI66" s="47"/>
      <c r="AJ66" s="47" t="str">
        <f>_xlfn.IFNA(INDEX('[3]3.5.1'!$1:$104,MATCH(AJ$4,'[3]3.5.1'!$A:$A,0),MATCH(Summary!$C66,'[3]3.5.1'!$1:$1,0)),"")</f>
        <v/>
      </c>
      <c r="AK66" s="47"/>
      <c r="AL66" s="47"/>
      <c r="AM66" s="47" t="str">
        <f>_xlfn.IFNA(INDEX('[3]3.5.1'!$1:$104,MATCH(AM$4,'[3]3.5.1'!$A:$A,0),MATCH(Summary!$C66,'[3]3.5.1'!$1:$1,0)),"")</f>
        <v/>
      </c>
      <c r="AN66" s="47"/>
      <c r="AO66" s="47"/>
      <c r="AP66" s="47">
        <f>_xlfn.IFNA(INDEX('[3]3.5.1'!$1:$104,MATCH(AP$4,'[3]3.5.1'!$A:$A,0),MATCH(Summary!$C66,'[3]3.5.1'!$1:$1,0)),"")</f>
        <v>152236.385</v>
      </c>
      <c r="AQ66" s="47"/>
      <c r="AR66" s="47"/>
      <c r="AS66" s="47" t="str">
        <f>_xlfn.IFNA(INDEX('[3]3.5.1'!$1:$104,MATCH(AS$4,'[3]3.5.1'!$A:$A,0),MATCH(Summary!$C66,'[3]3.5.1'!$1:$1,0)),"")</f>
        <v/>
      </c>
      <c r="AT66" s="47"/>
      <c r="AU66" s="47"/>
      <c r="AV66" s="47" t="str">
        <f>_xlfn.IFNA(INDEX('[3]3.5.1'!$1:$104,MATCH(AV$4,'[3]3.5.1'!$A:$A,0),MATCH(Summary!$C66,'[3]3.5.1'!$1:$1,0)),"")</f>
        <v/>
      </c>
      <c r="AW66" s="47"/>
      <c r="AX66" s="47"/>
      <c r="AY66" s="47">
        <f>_xlfn.IFNA(INDEX('[3]3.5.1'!$1:$104,MATCH(AY$4,'[3]3.5.1'!$A:$A,0),MATCH(Summary!$C66,'[3]3.5.1'!$1:$1,0)),"")</f>
        <v>141918.078</v>
      </c>
      <c r="AZ66" s="47"/>
      <c r="BA66" s="47"/>
      <c r="BB66" s="47">
        <f>_xlfn.IFNA(INDEX('[3]3.5.1'!$1:$104,MATCH(BB$4,'[3]3.5.1'!$A:$A,0),MATCH(Summary!$C66,'[3]3.5.1'!$1:$1,0)),"")</f>
        <v>132720.032</v>
      </c>
      <c r="BC66" s="47"/>
      <c r="BD66" s="47"/>
      <c r="BE66" s="47" t="str">
        <f>_xlfn.IFNA(INDEX('[3]3.5.1'!$1:$104,MATCH(BE$4,'[3]3.5.1'!$A:$A,0),MATCH(Summary!$C66,'[3]3.5.1'!$1:$1,0)),"")</f>
        <v/>
      </c>
      <c r="BF66" s="47"/>
      <c r="BG66" s="47"/>
      <c r="BH66" s="47" t="str">
        <f>_xlfn.IFNA(INDEX('[3]3.5.1'!$1:$104,MATCH(BH$4,'[3]3.5.1'!$A:$A,0),MATCH(Summary!$C66,'[3]3.5.1'!$1:$1,0)),"")</f>
        <v/>
      </c>
      <c r="BI66" s="47"/>
      <c r="BJ66" s="47"/>
      <c r="BK66" s="47" t="str">
        <f>_xlfn.IFNA(INDEX('[3]3.5.1'!$1:$104,MATCH(BK$4,'[3]3.5.1'!$A:$A,0),MATCH(Summary!$C66,'[3]3.5.1'!$1:$1,0)),"")</f>
        <v/>
      </c>
    </row>
    <row r="67" s="1" customFormat="1" ht="16.5" customHeight="1" outlineLevel="3" spans="1:63">
      <c r="A67" s="22"/>
      <c r="B67" s="22"/>
      <c r="C67" s="22"/>
      <c r="D67" s="42"/>
      <c r="E67" s="42"/>
      <c r="F67" s="42" t="s">
        <v>533</v>
      </c>
      <c r="G67" s="44" t="s">
        <v>534</v>
      </c>
      <c r="H67" s="45">
        <f t="shared" si="9"/>
        <v>0</v>
      </c>
      <c r="I67" s="46" t="str">
        <f t="shared" si="10"/>
        <v/>
      </c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</row>
    <row r="68" s="1" customFormat="1" ht="16.5" customHeight="1" outlineLevel="3" spans="1:63">
      <c r="A68" s="22"/>
      <c r="B68" s="22"/>
      <c r="C68" s="22"/>
      <c r="D68" s="42"/>
      <c r="E68" s="42"/>
      <c r="F68" s="42" t="s">
        <v>535</v>
      </c>
      <c r="G68" s="44" t="s">
        <v>536</v>
      </c>
      <c r="H68" s="45">
        <f t="shared" si="9"/>
        <v>0</v>
      </c>
      <c r="I68" s="46" t="str">
        <f t="shared" si="10"/>
        <v/>
      </c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</row>
    <row r="69" s="2" customFormat="1" ht="16.5" customHeight="1" outlineLevel="3" spans="1:63">
      <c r="A69" s="22"/>
      <c r="B69" s="22"/>
      <c r="C69" s="22" t="s">
        <v>537</v>
      </c>
      <c r="D69" s="37"/>
      <c r="E69" s="37"/>
      <c r="F69" s="37" t="s">
        <v>538</v>
      </c>
      <c r="G69" s="37" t="s">
        <v>539</v>
      </c>
      <c r="H69" s="39">
        <f t="shared" si="9"/>
        <v>0.181531481883128</v>
      </c>
      <c r="I69" s="40" t="str">
        <f t="shared" si="10"/>
        <v/>
      </c>
      <c r="J69" s="41"/>
      <c r="K69" s="41"/>
      <c r="L69" s="41" t="str">
        <f>_xlfn.IFNA(INDEX('[3]3.5.1'!$1:$104,MATCH(L$4,'[3]3.5.1'!$A:$A,0),MATCH(Summary!$C69,'[3]3.5.1'!$1:$1,0)),"")</f>
        <v/>
      </c>
      <c r="M69" s="41"/>
      <c r="N69" s="41"/>
      <c r="O69" s="41">
        <f>_xlfn.IFNA(INDEX('[3]3.5.1'!$1:$104,MATCH(O$4,'[3]3.5.1'!$A:$A,0),MATCH(Summary!$C69,'[3]3.5.1'!$1:$1,0)),"")</f>
        <v>1958342.695</v>
      </c>
      <c r="P69" s="41"/>
      <c r="Q69" s="41"/>
      <c r="R69" s="41" t="str">
        <f>_xlfn.IFNA(INDEX('[3]3.5.1'!$1:$104,MATCH(R$4,'[3]3.5.1'!$A:$A,0),MATCH(Summary!$C69,'[3]3.5.1'!$1:$1,0)),"")</f>
        <v/>
      </c>
      <c r="S69" s="41"/>
      <c r="T69" s="41"/>
      <c r="U69" s="41" t="str">
        <f>_xlfn.IFNA(INDEX('[3]3.5.1'!$1:$104,MATCH(U$4,'[3]3.5.1'!$A:$A,0),MATCH(Summary!$C69,'[3]3.5.1'!$1:$1,0)),"")</f>
        <v/>
      </c>
      <c r="V69" s="41"/>
      <c r="W69" s="41"/>
      <c r="X69" s="41">
        <f>_xlfn.IFNA(INDEX('[3]3.5.1'!$1:$104,MATCH(X$4,'[3]3.5.1'!$A:$A,0),MATCH(Summary!$C69,'[3]3.5.1'!$1:$1,0)),"")</f>
        <v>1937565.885</v>
      </c>
      <c r="Y69" s="41"/>
      <c r="Z69" s="41"/>
      <c r="AA69" s="41" t="str">
        <f>_xlfn.IFNA(INDEX('[3]3.5.1'!$1:$104,MATCH(AA$4,'[3]3.5.1'!$A:$A,0),MATCH(Summary!$C69,'[3]3.5.1'!$1:$1,0)),"")</f>
        <v/>
      </c>
      <c r="AB69" s="41"/>
      <c r="AC69" s="41"/>
      <c r="AD69" s="41" t="str">
        <f>_xlfn.IFNA(INDEX('[3]3.5.1'!$1:$104,MATCH(AD$4,'[3]3.5.1'!$A:$A,0),MATCH(Summary!$C69,'[3]3.5.1'!$1:$1,0)),"")</f>
        <v/>
      </c>
      <c r="AE69" s="41"/>
      <c r="AF69" s="41"/>
      <c r="AG69" s="41">
        <f>_xlfn.IFNA(INDEX('[3]3.5.1'!$1:$104,MATCH(AG$4,'[3]3.5.1'!$A:$A,0),MATCH(Summary!$C69,'[3]3.5.1'!$1:$1,0)),"")</f>
        <v>1920476.489</v>
      </c>
      <c r="AH69" s="41"/>
      <c r="AI69" s="41"/>
      <c r="AJ69" s="41" t="str">
        <f>_xlfn.IFNA(INDEX('[3]3.5.1'!$1:$104,MATCH(AJ$4,'[3]3.5.1'!$A:$A,0),MATCH(Summary!$C69,'[3]3.5.1'!$1:$1,0)),"")</f>
        <v/>
      </c>
      <c r="AK69" s="41"/>
      <c r="AL69" s="41"/>
      <c r="AM69" s="41" t="str">
        <f>_xlfn.IFNA(INDEX('[3]3.5.1'!$1:$104,MATCH(AM$4,'[3]3.5.1'!$A:$A,0),MATCH(Summary!$C69,'[3]3.5.1'!$1:$1,0)),"")</f>
        <v/>
      </c>
      <c r="AN69" s="41"/>
      <c r="AO69" s="41"/>
      <c r="AP69" s="41">
        <f>_xlfn.IFNA(INDEX('[3]3.5.1'!$1:$104,MATCH(AP$4,'[3]3.5.1'!$A:$A,0),MATCH(Summary!$C69,'[3]3.5.1'!$1:$1,0)),"")</f>
        <v>1894346.998</v>
      </c>
      <c r="AQ69" s="41"/>
      <c r="AR69" s="41"/>
      <c r="AS69" s="41" t="str">
        <f>_xlfn.IFNA(INDEX('[3]3.5.1'!$1:$104,MATCH(AS$4,'[3]3.5.1'!$A:$A,0),MATCH(Summary!$C69,'[3]3.5.1'!$1:$1,0)),"")</f>
        <v/>
      </c>
      <c r="AT69" s="41"/>
      <c r="AU69" s="41"/>
      <c r="AV69" s="41" t="str">
        <f>_xlfn.IFNA(INDEX('[3]3.5.1'!$1:$104,MATCH(AV$4,'[3]3.5.1'!$A:$A,0),MATCH(Summary!$C69,'[3]3.5.1'!$1:$1,0)),"")</f>
        <v/>
      </c>
      <c r="AW69" s="41"/>
      <c r="AX69" s="41"/>
      <c r="AY69" s="41">
        <f>_xlfn.IFNA(INDEX('[3]3.5.1'!$1:$104,MATCH(AY$4,'[3]3.5.1'!$A:$A,0),MATCH(Summary!$C69,'[3]3.5.1'!$1:$1,0)),"")</f>
        <v>1889329.495</v>
      </c>
      <c r="AZ69" s="41"/>
      <c r="BA69" s="41"/>
      <c r="BB69" s="41">
        <f>_xlfn.IFNA(INDEX('[3]3.5.1'!$1:$104,MATCH(BB$4,'[3]3.5.1'!$A:$A,0),MATCH(Summary!$C69,'[3]3.5.1'!$1:$1,0)),"")</f>
        <v>1873532.467</v>
      </c>
      <c r="BC69" s="41"/>
      <c r="BD69" s="41"/>
      <c r="BE69" s="41" t="str">
        <f>_xlfn.IFNA(INDEX('[3]3.5.1'!$1:$104,MATCH(BE$4,'[3]3.5.1'!$A:$A,0),MATCH(Summary!$C69,'[3]3.5.1'!$1:$1,0)),"")</f>
        <v/>
      </c>
      <c r="BF69" s="41"/>
      <c r="BG69" s="41"/>
      <c r="BH69" s="41" t="str">
        <f>_xlfn.IFNA(INDEX('[3]3.5.1'!$1:$104,MATCH(BH$4,'[3]3.5.1'!$A:$A,0),MATCH(Summary!$C69,'[3]3.5.1'!$1:$1,0)),"")</f>
        <v/>
      </c>
      <c r="BI69" s="41"/>
      <c r="BJ69" s="41"/>
      <c r="BK69" s="41" t="str">
        <f>_xlfn.IFNA(INDEX('[3]3.5.1'!$1:$104,MATCH(BK$4,'[3]3.5.1'!$A:$A,0),MATCH(Summary!$C69,'[3]3.5.1'!$1:$1,0)),"")</f>
        <v/>
      </c>
    </row>
    <row r="70" s="1" customFormat="1" ht="16.5" customHeight="1" outlineLevel="3" spans="1:63">
      <c r="A70" s="22"/>
      <c r="B70" s="22"/>
      <c r="C70" s="22" t="s">
        <v>540</v>
      </c>
      <c r="D70" s="42"/>
      <c r="E70" s="42"/>
      <c r="F70" s="42" t="s">
        <v>541</v>
      </c>
      <c r="G70" s="44" t="s">
        <v>542</v>
      </c>
      <c r="H70" s="45">
        <f t="shared" si="9"/>
        <v>0.0137932425351944</v>
      </c>
      <c r="I70" s="46" t="str">
        <f t="shared" si="10"/>
        <v/>
      </c>
      <c r="J70" s="47"/>
      <c r="K70" s="47"/>
      <c r="L70" s="47" t="str">
        <f>_xlfn.IFNA(INDEX('[3]3.5.1'!$1:$104,MATCH(L$4,'[3]3.5.1'!$A:$A,0),MATCH(Summary!$C70,'[3]3.5.1'!$1:$1,0)),"")</f>
        <v/>
      </c>
      <c r="M70" s="47"/>
      <c r="N70" s="47"/>
      <c r="O70" s="47">
        <f>_xlfn.IFNA(INDEX('[3]3.5.1'!$1:$104,MATCH(O$4,'[3]3.5.1'!$A:$A,0),MATCH(Summary!$C70,'[3]3.5.1'!$1:$1,0)),"")</f>
        <v>148800.062</v>
      </c>
      <c r="P70" s="47"/>
      <c r="Q70" s="47"/>
      <c r="R70" s="47" t="str">
        <f>_xlfn.IFNA(INDEX('[3]3.5.1'!$1:$104,MATCH(R$4,'[3]3.5.1'!$A:$A,0),MATCH(Summary!$C70,'[3]3.5.1'!$1:$1,0)),"")</f>
        <v/>
      </c>
      <c r="S70" s="47"/>
      <c r="T70" s="47"/>
      <c r="U70" s="47" t="str">
        <f>_xlfn.IFNA(INDEX('[3]3.5.1'!$1:$104,MATCH(U$4,'[3]3.5.1'!$A:$A,0),MATCH(Summary!$C70,'[3]3.5.1'!$1:$1,0)),"")</f>
        <v/>
      </c>
      <c r="V70" s="47"/>
      <c r="W70" s="47"/>
      <c r="X70" s="47">
        <f>_xlfn.IFNA(INDEX('[3]3.5.1'!$1:$104,MATCH(X$4,'[3]3.5.1'!$A:$A,0),MATCH(Summary!$C70,'[3]3.5.1'!$1:$1,0)),"")</f>
        <v>151892.099</v>
      </c>
      <c r="Y70" s="47"/>
      <c r="Z70" s="47"/>
      <c r="AA70" s="47" t="str">
        <f>_xlfn.IFNA(INDEX('[3]3.5.1'!$1:$104,MATCH(AA$4,'[3]3.5.1'!$A:$A,0),MATCH(Summary!$C70,'[3]3.5.1'!$1:$1,0)),"")</f>
        <v/>
      </c>
      <c r="AB70" s="47"/>
      <c r="AC70" s="47"/>
      <c r="AD70" s="47" t="str">
        <f>_xlfn.IFNA(INDEX('[3]3.5.1'!$1:$104,MATCH(AD$4,'[3]3.5.1'!$A:$A,0),MATCH(Summary!$C70,'[3]3.5.1'!$1:$1,0)),"")</f>
        <v/>
      </c>
      <c r="AE70" s="47"/>
      <c r="AF70" s="47"/>
      <c r="AG70" s="47">
        <f>_xlfn.IFNA(INDEX('[3]3.5.1'!$1:$104,MATCH(AG$4,'[3]3.5.1'!$A:$A,0),MATCH(Summary!$C70,'[3]3.5.1'!$1:$1,0)),"")</f>
        <v>157738.367</v>
      </c>
      <c r="AH70" s="47"/>
      <c r="AI70" s="47"/>
      <c r="AJ70" s="47" t="str">
        <f>_xlfn.IFNA(INDEX('[3]3.5.1'!$1:$104,MATCH(AJ$4,'[3]3.5.1'!$A:$A,0),MATCH(Summary!$C70,'[3]3.5.1'!$1:$1,0)),"")</f>
        <v/>
      </c>
      <c r="AK70" s="47"/>
      <c r="AL70" s="47"/>
      <c r="AM70" s="47" t="str">
        <f>_xlfn.IFNA(INDEX('[3]3.5.1'!$1:$104,MATCH(AM$4,'[3]3.5.1'!$A:$A,0),MATCH(Summary!$C70,'[3]3.5.1'!$1:$1,0)),"")</f>
        <v/>
      </c>
      <c r="AN70" s="47"/>
      <c r="AO70" s="47"/>
      <c r="AP70" s="47">
        <f>_xlfn.IFNA(INDEX('[3]3.5.1'!$1:$104,MATCH(AP$4,'[3]3.5.1'!$A:$A,0),MATCH(Summary!$C70,'[3]3.5.1'!$1:$1,0)),"")</f>
        <v>145656.063</v>
      </c>
      <c r="AQ70" s="47"/>
      <c r="AR70" s="47"/>
      <c r="AS70" s="47" t="str">
        <f>_xlfn.IFNA(INDEX('[3]3.5.1'!$1:$104,MATCH(AS$4,'[3]3.5.1'!$A:$A,0),MATCH(Summary!$C70,'[3]3.5.1'!$1:$1,0)),"")</f>
        <v/>
      </c>
      <c r="AT70" s="47"/>
      <c r="AU70" s="47"/>
      <c r="AV70" s="47" t="str">
        <f>_xlfn.IFNA(INDEX('[3]3.5.1'!$1:$104,MATCH(AV$4,'[3]3.5.1'!$A:$A,0),MATCH(Summary!$C70,'[3]3.5.1'!$1:$1,0)),"")</f>
        <v/>
      </c>
      <c r="AW70" s="47"/>
      <c r="AX70" s="47"/>
      <c r="AY70" s="47">
        <f>_xlfn.IFNA(INDEX('[3]3.5.1'!$1:$104,MATCH(AY$4,'[3]3.5.1'!$A:$A,0),MATCH(Summary!$C70,'[3]3.5.1'!$1:$1,0)),"")</f>
        <v>143687.936</v>
      </c>
      <c r="AZ70" s="47"/>
      <c r="BA70" s="47"/>
      <c r="BB70" s="47">
        <f>_xlfn.IFNA(INDEX('[3]3.5.1'!$1:$104,MATCH(BB$4,'[3]3.5.1'!$A:$A,0),MATCH(Summary!$C70,'[3]3.5.1'!$1:$1,0)),"")</f>
        <v>154585.216</v>
      </c>
      <c r="BC70" s="47"/>
      <c r="BD70" s="47"/>
      <c r="BE70" s="47" t="str">
        <f>_xlfn.IFNA(INDEX('[3]3.5.1'!$1:$104,MATCH(BE$4,'[3]3.5.1'!$A:$A,0),MATCH(Summary!$C70,'[3]3.5.1'!$1:$1,0)),"")</f>
        <v/>
      </c>
      <c r="BF70" s="47"/>
      <c r="BG70" s="47"/>
      <c r="BH70" s="47" t="str">
        <f>_xlfn.IFNA(INDEX('[3]3.5.1'!$1:$104,MATCH(BH$4,'[3]3.5.1'!$A:$A,0),MATCH(Summary!$C70,'[3]3.5.1'!$1:$1,0)),"")</f>
        <v/>
      </c>
      <c r="BI70" s="47"/>
      <c r="BJ70" s="47"/>
      <c r="BK70" s="47" t="str">
        <f>_xlfn.IFNA(INDEX('[3]3.5.1'!$1:$104,MATCH(BK$4,'[3]3.5.1'!$A:$A,0),MATCH(Summary!$C70,'[3]3.5.1'!$1:$1,0)),"")</f>
        <v/>
      </c>
    </row>
    <row r="71" s="1" customFormat="1" ht="16.5" customHeight="1" outlineLevel="3" spans="1:63">
      <c r="A71" s="22"/>
      <c r="B71" s="22"/>
      <c r="C71" s="22" t="s">
        <v>543</v>
      </c>
      <c r="D71" s="42"/>
      <c r="E71" s="42"/>
      <c r="F71" s="42" t="s">
        <v>544</v>
      </c>
      <c r="G71" s="44" t="s">
        <v>545</v>
      </c>
      <c r="H71" s="45">
        <f t="shared" si="9"/>
        <v>0.000702916046135393</v>
      </c>
      <c r="I71" s="46" t="str">
        <f t="shared" si="10"/>
        <v/>
      </c>
      <c r="J71" s="47"/>
      <c r="K71" s="47"/>
      <c r="L71" s="47" t="str">
        <f>_xlfn.IFNA(INDEX('[3]3.5.1'!$1:$104,MATCH(L$4,'[3]3.5.1'!$A:$A,0),MATCH(Summary!$C71,'[3]3.5.1'!$1:$1,0)),"")</f>
        <v/>
      </c>
      <c r="M71" s="47"/>
      <c r="N71" s="47"/>
      <c r="O71" s="47">
        <f>_xlfn.IFNA(INDEX('[3]3.5.1'!$1:$104,MATCH(O$4,'[3]3.5.1'!$A:$A,0),MATCH(Summary!$C71,'[3]3.5.1'!$1:$1,0)),"")</f>
        <v>7582.985</v>
      </c>
      <c r="P71" s="47"/>
      <c r="Q71" s="47"/>
      <c r="R71" s="47" t="str">
        <f>_xlfn.IFNA(INDEX('[3]3.5.1'!$1:$104,MATCH(R$4,'[3]3.5.1'!$A:$A,0),MATCH(Summary!$C71,'[3]3.5.1'!$1:$1,0)),"")</f>
        <v/>
      </c>
      <c r="S71" s="47"/>
      <c r="T71" s="47"/>
      <c r="U71" s="47" t="str">
        <f>_xlfn.IFNA(INDEX('[3]3.5.1'!$1:$104,MATCH(U$4,'[3]3.5.1'!$A:$A,0),MATCH(Summary!$C71,'[3]3.5.1'!$1:$1,0)),"")</f>
        <v/>
      </c>
      <c r="V71" s="47"/>
      <c r="W71" s="47"/>
      <c r="X71" s="47">
        <f>_xlfn.IFNA(INDEX('[3]3.5.1'!$1:$104,MATCH(X$4,'[3]3.5.1'!$A:$A,0),MATCH(Summary!$C71,'[3]3.5.1'!$1:$1,0)),"")</f>
        <v>6885.071</v>
      </c>
      <c r="Y71" s="47"/>
      <c r="Z71" s="47"/>
      <c r="AA71" s="47" t="str">
        <f>_xlfn.IFNA(INDEX('[3]3.5.1'!$1:$104,MATCH(AA$4,'[3]3.5.1'!$A:$A,0),MATCH(Summary!$C71,'[3]3.5.1'!$1:$1,0)),"")</f>
        <v/>
      </c>
      <c r="AB71" s="47"/>
      <c r="AC71" s="47"/>
      <c r="AD71" s="47" t="str">
        <f>_xlfn.IFNA(INDEX('[3]3.5.1'!$1:$104,MATCH(AD$4,'[3]3.5.1'!$A:$A,0),MATCH(Summary!$C71,'[3]3.5.1'!$1:$1,0)),"")</f>
        <v/>
      </c>
      <c r="AE71" s="47"/>
      <c r="AF71" s="47"/>
      <c r="AG71" s="47">
        <f>_xlfn.IFNA(INDEX('[3]3.5.1'!$1:$104,MATCH(AG$4,'[3]3.5.1'!$A:$A,0),MATCH(Summary!$C71,'[3]3.5.1'!$1:$1,0)),"")</f>
        <v>5630.61</v>
      </c>
      <c r="AH71" s="47"/>
      <c r="AI71" s="47"/>
      <c r="AJ71" s="47" t="str">
        <f>_xlfn.IFNA(INDEX('[3]3.5.1'!$1:$104,MATCH(AJ$4,'[3]3.5.1'!$A:$A,0),MATCH(Summary!$C71,'[3]3.5.1'!$1:$1,0)),"")</f>
        <v/>
      </c>
      <c r="AK71" s="47"/>
      <c r="AL71" s="47"/>
      <c r="AM71" s="47" t="str">
        <f>_xlfn.IFNA(INDEX('[3]3.5.1'!$1:$104,MATCH(AM$4,'[3]3.5.1'!$A:$A,0),MATCH(Summary!$C71,'[3]3.5.1'!$1:$1,0)),"")</f>
        <v/>
      </c>
      <c r="AN71" s="47"/>
      <c r="AO71" s="47"/>
      <c r="AP71" s="47">
        <f>_xlfn.IFNA(INDEX('[3]3.5.1'!$1:$104,MATCH(AP$4,'[3]3.5.1'!$A:$A,0),MATCH(Summary!$C71,'[3]3.5.1'!$1:$1,0)),"")</f>
        <v>5576.78</v>
      </c>
      <c r="AQ71" s="47"/>
      <c r="AR71" s="47"/>
      <c r="AS71" s="47" t="str">
        <f>_xlfn.IFNA(INDEX('[3]3.5.1'!$1:$104,MATCH(AS$4,'[3]3.5.1'!$A:$A,0),MATCH(Summary!$C71,'[3]3.5.1'!$1:$1,0)),"")</f>
        <v/>
      </c>
      <c r="AT71" s="47"/>
      <c r="AU71" s="47"/>
      <c r="AV71" s="47" t="str">
        <f>_xlfn.IFNA(INDEX('[3]3.5.1'!$1:$104,MATCH(AV$4,'[3]3.5.1'!$A:$A,0),MATCH(Summary!$C71,'[3]3.5.1'!$1:$1,0)),"")</f>
        <v/>
      </c>
      <c r="AW71" s="47"/>
      <c r="AX71" s="47"/>
      <c r="AY71" s="47">
        <f>_xlfn.IFNA(INDEX('[3]3.5.1'!$1:$104,MATCH(AY$4,'[3]3.5.1'!$A:$A,0),MATCH(Summary!$C71,'[3]3.5.1'!$1:$1,0)),"")</f>
        <v>5638.183</v>
      </c>
      <c r="AZ71" s="47"/>
      <c r="BA71" s="47"/>
      <c r="BB71" s="47">
        <f>_xlfn.IFNA(INDEX('[3]3.5.1'!$1:$104,MATCH(BB$4,'[3]3.5.1'!$A:$A,0),MATCH(Summary!$C71,'[3]3.5.1'!$1:$1,0)),"")</f>
        <v>5403.246</v>
      </c>
      <c r="BC71" s="47"/>
      <c r="BD71" s="47"/>
      <c r="BE71" s="47" t="str">
        <f>_xlfn.IFNA(INDEX('[3]3.5.1'!$1:$104,MATCH(BE$4,'[3]3.5.1'!$A:$A,0),MATCH(Summary!$C71,'[3]3.5.1'!$1:$1,0)),"")</f>
        <v/>
      </c>
      <c r="BF71" s="47"/>
      <c r="BG71" s="47"/>
      <c r="BH71" s="47" t="str">
        <f>_xlfn.IFNA(INDEX('[3]3.5.1'!$1:$104,MATCH(BH$4,'[3]3.5.1'!$A:$A,0),MATCH(Summary!$C71,'[3]3.5.1'!$1:$1,0)),"")</f>
        <v/>
      </c>
      <c r="BI71" s="47"/>
      <c r="BJ71" s="47"/>
      <c r="BK71" s="47" t="str">
        <f>_xlfn.IFNA(INDEX('[3]3.5.1'!$1:$104,MATCH(BK$4,'[3]3.5.1'!$A:$A,0),MATCH(Summary!$C71,'[3]3.5.1'!$1:$1,0)),"")</f>
        <v/>
      </c>
    </row>
    <row r="72" s="1" customFormat="1" ht="16.5" customHeight="1" outlineLevel="3" spans="1:63">
      <c r="A72" s="22"/>
      <c r="B72" s="22"/>
      <c r="C72" s="22" t="s">
        <v>546</v>
      </c>
      <c r="D72" s="42"/>
      <c r="E72" s="42"/>
      <c r="F72" s="42" t="s">
        <v>547</v>
      </c>
      <c r="G72" s="44" t="s">
        <v>548</v>
      </c>
      <c r="H72" s="45">
        <f t="shared" si="9"/>
        <v>0.073617477791947</v>
      </c>
      <c r="I72" s="46" t="str">
        <f t="shared" si="10"/>
        <v/>
      </c>
      <c r="J72" s="47"/>
      <c r="K72" s="47"/>
      <c r="L72" s="47" t="str">
        <f>_xlfn.IFNA(INDEX('[3]3.5.1'!$1:$104,MATCH(L$4,'[3]3.5.1'!$A:$A,0),MATCH(Summary!$C72,'[3]3.5.1'!$1:$1,0)),"")</f>
        <v/>
      </c>
      <c r="M72" s="47"/>
      <c r="N72" s="47"/>
      <c r="O72" s="47">
        <f>_xlfn.IFNA(INDEX('[3]3.5.1'!$1:$104,MATCH(O$4,'[3]3.5.1'!$A:$A,0),MATCH(Summary!$C72,'[3]3.5.1'!$1:$1,0)),"")</f>
        <v>794177.673</v>
      </c>
      <c r="P72" s="47"/>
      <c r="Q72" s="47"/>
      <c r="R72" s="47" t="str">
        <f>_xlfn.IFNA(INDEX('[3]3.5.1'!$1:$104,MATCH(R$4,'[3]3.5.1'!$A:$A,0),MATCH(Summary!$C72,'[3]3.5.1'!$1:$1,0)),"")</f>
        <v/>
      </c>
      <c r="S72" s="47"/>
      <c r="T72" s="47"/>
      <c r="U72" s="47" t="str">
        <f>_xlfn.IFNA(INDEX('[3]3.5.1'!$1:$104,MATCH(U$4,'[3]3.5.1'!$A:$A,0),MATCH(Summary!$C72,'[3]3.5.1'!$1:$1,0)),"")</f>
        <v/>
      </c>
      <c r="V72" s="47"/>
      <c r="W72" s="47"/>
      <c r="X72" s="47">
        <f>_xlfn.IFNA(INDEX('[3]3.5.1'!$1:$104,MATCH(X$4,'[3]3.5.1'!$A:$A,0),MATCH(Summary!$C72,'[3]3.5.1'!$1:$1,0)),"")</f>
        <v>748476.799</v>
      </c>
      <c r="Y72" s="47"/>
      <c r="Z72" s="47"/>
      <c r="AA72" s="47" t="str">
        <f>_xlfn.IFNA(INDEX('[3]3.5.1'!$1:$104,MATCH(AA$4,'[3]3.5.1'!$A:$A,0),MATCH(Summary!$C72,'[3]3.5.1'!$1:$1,0)),"")</f>
        <v/>
      </c>
      <c r="AB72" s="47"/>
      <c r="AC72" s="47"/>
      <c r="AD72" s="47" t="str">
        <f>_xlfn.IFNA(INDEX('[3]3.5.1'!$1:$104,MATCH(AD$4,'[3]3.5.1'!$A:$A,0),MATCH(Summary!$C72,'[3]3.5.1'!$1:$1,0)),"")</f>
        <v/>
      </c>
      <c r="AE72" s="47"/>
      <c r="AF72" s="47"/>
      <c r="AG72" s="47">
        <f>_xlfn.IFNA(INDEX('[3]3.5.1'!$1:$104,MATCH(AG$4,'[3]3.5.1'!$A:$A,0),MATCH(Summary!$C72,'[3]3.5.1'!$1:$1,0)),"")</f>
        <v>685669.347</v>
      </c>
      <c r="AH72" s="47"/>
      <c r="AI72" s="47"/>
      <c r="AJ72" s="47" t="str">
        <f>_xlfn.IFNA(INDEX('[3]3.5.1'!$1:$104,MATCH(AJ$4,'[3]3.5.1'!$A:$A,0),MATCH(Summary!$C72,'[3]3.5.1'!$1:$1,0)),"")</f>
        <v/>
      </c>
      <c r="AK72" s="47"/>
      <c r="AL72" s="47"/>
      <c r="AM72" s="47" t="str">
        <f>_xlfn.IFNA(INDEX('[3]3.5.1'!$1:$104,MATCH(AM$4,'[3]3.5.1'!$A:$A,0),MATCH(Summary!$C72,'[3]3.5.1'!$1:$1,0)),"")</f>
        <v/>
      </c>
      <c r="AN72" s="47"/>
      <c r="AO72" s="47"/>
      <c r="AP72" s="47">
        <f>_xlfn.IFNA(INDEX('[3]3.5.1'!$1:$104,MATCH(AP$4,'[3]3.5.1'!$A:$A,0),MATCH(Summary!$C72,'[3]3.5.1'!$1:$1,0)),"")</f>
        <v>682089.887</v>
      </c>
      <c r="AQ72" s="47"/>
      <c r="AR72" s="47"/>
      <c r="AS72" s="47" t="str">
        <f>_xlfn.IFNA(INDEX('[3]3.5.1'!$1:$104,MATCH(AS$4,'[3]3.5.1'!$A:$A,0),MATCH(Summary!$C72,'[3]3.5.1'!$1:$1,0)),"")</f>
        <v/>
      </c>
      <c r="AT72" s="47"/>
      <c r="AU72" s="47"/>
      <c r="AV72" s="47" t="str">
        <f>_xlfn.IFNA(INDEX('[3]3.5.1'!$1:$104,MATCH(AV$4,'[3]3.5.1'!$A:$A,0),MATCH(Summary!$C72,'[3]3.5.1'!$1:$1,0)),"")</f>
        <v/>
      </c>
      <c r="AW72" s="47"/>
      <c r="AX72" s="47"/>
      <c r="AY72" s="47">
        <f>_xlfn.IFNA(INDEX('[3]3.5.1'!$1:$104,MATCH(AY$4,'[3]3.5.1'!$A:$A,0),MATCH(Summary!$C72,'[3]3.5.1'!$1:$1,0)),"")</f>
        <v>664951.664</v>
      </c>
      <c r="AZ72" s="47"/>
      <c r="BA72" s="47"/>
      <c r="BB72" s="47">
        <f>_xlfn.IFNA(INDEX('[3]3.5.1'!$1:$104,MATCH(BB$4,'[3]3.5.1'!$A:$A,0),MATCH(Summary!$C72,'[3]3.5.1'!$1:$1,0)),"")</f>
        <v>629430.801</v>
      </c>
      <c r="BC72" s="47"/>
      <c r="BD72" s="47"/>
      <c r="BE72" s="47" t="str">
        <f>_xlfn.IFNA(INDEX('[3]3.5.1'!$1:$104,MATCH(BE$4,'[3]3.5.1'!$A:$A,0),MATCH(Summary!$C72,'[3]3.5.1'!$1:$1,0)),"")</f>
        <v/>
      </c>
      <c r="BF72" s="47"/>
      <c r="BG72" s="47"/>
      <c r="BH72" s="47" t="str">
        <f>_xlfn.IFNA(INDEX('[3]3.5.1'!$1:$104,MATCH(BH$4,'[3]3.5.1'!$A:$A,0),MATCH(Summary!$C72,'[3]3.5.1'!$1:$1,0)),"")</f>
        <v/>
      </c>
      <c r="BI72" s="47"/>
      <c r="BJ72" s="47"/>
      <c r="BK72" s="47" t="str">
        <f>_xlfn.IFNA(INDEX('[3]3.5.1'!$1:$104,MATCH(BK$4,'[3]3.5.1'!$A:$A,0),MATCH(Summary!$C72,'[3]3.5.1'!$1:$1,0)),"")</f>
        <v/>
      </c>
    </row>
    <row r="73" s="1" customFormat="1" ht="16.5" customHeight="1" outlineLevel="2" spans="1:63">
      <c r="A73" s="22"/>
      <c r="B73" s="22"/>
      <c r="C73" s="22" t="s">
        <v>549</v>
      </c>
      <c r="D73" s="42"/>
      <c r="E73" s="42"/>
      <c r="F73" s="57" t="s">
        <v>550</v>
      </c>
      <c r="G73" s="58" t="s">
        <v>221</v>
      </c>
      <c r="H73" s="45">
        <f t="shared" si="9"/>
        <v>0.0428701530258175</v>
      </c>
      <c r="I73" s="46" t="str">
        <f t="shared" si="10"/>
        <v/>
      </c>
      <c r="J73" s="47"/>
      <c r="K73" s="47"/>
      <c r="L73" s="47" t="str">
        <f>_xlfn.IFNA(INDEX('[3]3.5.1'!$1:$104,MATCH(L$4,'[3]3.5.1'!$A:$A,0),MATCH(Summary!$C73,'[3]3.5.1'!$1:$1,0)),"")</f>
        <v/>
      </c>
      <c r="M73" s="47"/>
      <c r="N73" s="47"/>
      <c r="O73" s="47">
        <f>_xlfn.IFNA(INDEX('[3]3.5.1'!$1:$104,MATCH(O$4,'[3]3.5.1'!$A:$A,0),MATCH(Summary!$C73,'[3]3.5.1'!$1:$1,0)),"")</f>
        <v>462478.74</v>
      </c>
      <c r="P73" s="47"/>
      <c r="Q73" s="47"/>
      <c r="R73" s="47" t="str">
        <f>_xlfn.IFNA(INDEX('[3]3.5.1'!$1:$104,MATCH(R$4,'[3]3.5.1'!$A:$A,0),MATCH(Summary!$C73,'[3]3.5.1'!$1:$1,0)),"")</f>
        <v/>
      </c>
      <c r="S73" s="47"/>
      <c r="T73" s="47"/>
      <c r="U73" s="47" t="str">
        <f>_xlfn.IFNA(INDEX('[3]3.5.1'!$1:$104,MATCH(U$4,'[3]3.5.1'!$A:$A,0),MATCH(Summary!$C73,'[3]3.5.1'!$1:$1,0)),"")</f>
        <v/>
      </c>
      <c r="V73" s="47"/>
      <c r="W73" s="47"/>
      <c r="X73" s="47">
        <f>_xlfn.IFNA(INDEX('[3]3.5.1'!$1:$104,MATCH(X$4,'[3]3.5.1'!$A:$A,0),MATCH(Summary!$C73,'[3]3.5.1'!$1:$1,0)),"")</f>
        <v>475615.773</v>
      </c>
      <c r="Y73" s="47"/>
      <c r="Z73" s="47"/>
      <c r="AA73" s="47" t="str">
        <f>_xlfn.IFNA(INDEX('[3]3.5.1'!$1:$104,MATCH(AA$4,'[3]3.5.1'!$A:$A,0),MATCH(Summary!$C73,'[3]3.5.1'!$1:$1,0)),"")</f>
        <v/>
      </c>
      <c r="AB73" s="47"/>
      <c r="AC73" s="47"/>
      <c r="AD73" s="47" t="str">
        <f>_xlfn.IFNA(INDEX('[3]3.5.1'!$1:$104,MATCH(AD$4,'[3]3.5.1'!$A:$A,0),MATCH(Summary!$C73,'[3]3.5.1'!$1:$1,0)),"")</f>
        <v/>
      </c>
      <c r="AE73" s="47"/>
      <c r="AF73" s="47"/>
      <c r="AG73" s="47">
        <f>_xlfn.IFNA(INDEX('[3]3.5.1'!$1:$104,MATCH(AG$4,'[3]3.5.1'!$A:$A,0),MATCH(Summary!$C73,'[3]3.5.1'!$1:$1,0)),"")</f>
        <v>467099.298</v>
      </c>
      <c r="AH73" s="47"/>
      <c r="AI73" s="47"/>
      <c r="AJ73" s="47" t="str">
        <f>_xlfn.IFNA(INDEX('[3]3.5.1'!$1:$104,MATCH(AJ$4,'[3]3.5.1'!$A:$A,0),MATCH(Summary!$C73,'[3]3.5.1'!$1:$1,0)),"")</f>
        <v/>
      </c>
      <c r="AK73" s="47"/>
      <c r="AL73" s="47"/>
      <c r="AM73" s="47" t="str">
        <f>_xlfn.IFNA(INDEX('[3]3.5.1'!$1:$104,MATCH(AM$4,'[3]3.5.1'!$A:$A,0),MATCH(Summary!$C73,'[3]3.5.1'!$1:$1,0)),"")</f>
        <v/>
      </c>
      <c r="AN73" s="47"/>
      <c r="AO73" s="47"/>
      <c r="AP73" s="47">
        <f>_xlfn.IFNA(INDEX('[3]3.5.1'!$1:$104,MATCH(AP$4,'[3]3.5.1'!$A:$A,0),MATCH(Summary!$C73,'[3]3.5.1'!$1:$1,0)),"")</f>
        <v>457491.526</v>
      </c>
      <c r="AQ73" s="47"/>
      <c r="AR73" s="47"/>
      <c r="AS73" s="47" t="str">
        <f>_xlfn.IFNA(INDEX('[3]3.5.1'!$1:$104,MATCH(AS$4,'[3]3.5.1'!$A:$A,0),MATCH(Summary!$C73,'[3]3.5.1'!$1:$1,0)),"")</f>
        <v/>
      </c>
      <c r="AT73" s="47"/>
      <c r="AU73" s="47"/>
      <c r="AV73" s="47" t="str">
        <f>_xlfn.IFNA(INDEX('[3]3.5.1'!$1:$104,MATCH(AV$4,'[3]3.5.1'!$A:$A,0),MATCH(Summary!$C73,'[3]3.5.1'!$1:$1,0)),"")</f>
        <v/>
      </c>
      <c r="AW73" s="47"/>
      <c r="AX73" s="47"/>
      <c r="AY73" s="47">
        <f>_xlfn.IFNA(INDEX('[3]3.5.1'!$1:$104,MATCH(AY$4,'[3]3.5.1'!$A:$A,0),MATCH(Summary!$C73,'[3]3.5.1'!$1:$1,0)),"")</f>
        <v>477331.761</v>
      </c>
      <c r="AZ73" s="47"/>
      <c r="BA73" s="47"/>
      <c r="BB73" s="47">
        <f>_xlfn.IFNA(INDEX('[3]3.5.1'!$1:$104,MATCH(BB$4,'[3]3.5.1'!$A:$A,0),MATCH(Summary!$C73,'[3]3.5.1'!$1:$1,0)),"")</f>
        <v>474595.087</v>
      </c>
      <c r="BC73" s="47"/>
      <c r="BD73" s="47"/>
      <c r="BE73" s="47" t="str">
        <f>_xlfn.IFNA(INDEX('[3]3.5.1'!$1:$104,MATCH(BE$4,'[3]3.5.1'!$A:$A,0),MATCH(Summary!$C73,'[3]3.5.1'!$1:$1,0)),"")</f>
        <v/>
      </c>
      <c r="BF73" s="47"/>
      <c r="BG73" s="47"/>
      <c r="BH73" s="47" t="str">
        <f>_xlfn.IFNA(INDEX('[3]3.5.1'!$1:$104,MATCH(BH$4,'[3]3.5.1'!$A:$A,0),MATCH(Summary!$C73,'[3]3.5.1'!$1:$1,0)),"")</f>
        <v/>
      </c>
      <c r="BI73" s="47"/>
      <c r="BJ73" s="47"/>
      <c r="BK73" s="47" t="str">
        <f>_xlfn.IFNA(INDEX('[3]3.5.1'!$1:$104,MATCH(BK$4,'[3]3.5.1'!$A:$A,0),MATCH(Summary!$C73,'[3]3.5.1'!$1:$1,0)),"")</f>
        <v/>
      </c>
    </row>
    <row r="74" s="1" customFormat="1" ht="16.5" customHeight="1" spans="1:63">
      <c r="A74" s="22"/>
      <c r="B74" s="22"/>
      <c r="C74" s="22" t="s">
        <v>551</v>
      </c>
      <c r="D74" s="33"/>
      <c r="E74" s="33" t="s">
        <v>252</v>
      </c>
      <c r="F74" s="33"/>
      <c r="G74" s="33"/>
      <c r="H74" s="34">
        <f t="shared" si="9"/>
        <v>0.24959923630007</v>
      </c>
      <c r="I74" s="35">
        <f t="shared" si="10"/>
        <v>0.111406109006555</v>
      </c>
      <c r="J74" s="36">
        <f t="shared" ref="J74:N74" si="12">J75+J76</f>
        <v>461086.762</v>
      </c>
      <c r="K74" s="36">
        <f t="shared" si="12"/>
        <v>2277900.412</v>
      </c>
      <c r="L74" s="36">
        <f>INDEX('[3]1.2'!$1:$104,MATCH(L$3,'[3]1.2'!$A:$A,0),MATCH(Summary!$C74,'[3]1.2'!$1:$1,0))</f>
        <v>2738987.174</v>
      </c>
      <c r="M74" s="36">
        <f t="shared" si="12"/>
        <v>464027.685</v>
      </c>
      <c r="N74" s="36">
        <f t="shared" si="12"/>
        <v>2228622.846</v>
      </c>
      <c r="O74" s="36">
        <f>INDEX('[3]1.2'!$1:$104,MATCH(O$3,'[3]1.2'!$A:$A,0),MATCH(Summary!$C74,'[3]1.2'!$1:$1,0))</f>
        <v>2692650.531</v>
      </c>
      <c r="P74" s="36">
        <f t="shared" ref="P74:T74" si="13">P75+P76</f>
        <v>470173.192</v>
      </c>
      <c r="Q74" s="36">
        <f t="shared" si="13"/>
        <v>2194772.743</v>
      </c>
      <c r="R74" s="36">
        <f>INDEX('[3]1.2'!$1:$104,MATCH(R$3,'[3]1.2'!$A:$A,0),MATCH(Summary!$C74,'[3]1.2'!$1:$1,0))</f>
        <v>2664945.935</v>
      </c>
      <c r="S74" s="36">
        <f t="shared" si="13"/>
        <v>467276.784</v>
      </c>
      <c r="T74" s="36">
        <f t="shared" si="13"/>
        <v>2160385.34</v>
      </c>
      <c r="U74" s="36">
        <f>INDEX('[3]1.2'!$1:$104,MATCH(U$3,'[3]1.2'!$A:$A,0),MATCH(Summary!$C74,'[3]1.2'!$1:$1,0))</f>
        <v>2627662.124</v>
      </c>
      <c r="V74" s="36">
        <f t="shared" ref="V74:Z74" si="14">V75+V76</f>
        <v>460528.246</v>
      </c>
      <c r="W74" s="36">
        <f t="shared" si="14"/>
        <v>2117928.044</v>
      </c>
      <c r="X74" s="36">
        <f>INDEX('[3]1.2'!$1:$104,MATCH(X$3,'[3]1.2'!$A:$A,0),MATCH(Summary!$C74,'[3]1.2'!$1:$1,0))</f>
        <v>2578456.29</v>
      </c>
      <c r="Y74" s="36">
        <f t="shared" si="14"/>
        <v>457350.093</v>
      </c>
      <c r="Z74" s="36">
        <f t="shared" si="14"/>
        <v>2123022.801</v>
      </c>
      <c r="AA74" s="36">
        <f>INDEX('[3]1.2'!$1:$104,MATCH(AA$3,'[3]1.2'!$A:$A,0),MATCH(Summary!$C74,'[3]1.2'!$1:$1,0))</f>
        <v>2580372.894</v>
      </c>
      <c r="AB74" s="36">
        <f t="shared" ref="AB74:AF74" si="15">AB75+AB76</f>
        <v>459704.909</v>
      </c>
      <c r="AC74" s="36">
        <f t="shared" si="15"/>
        <v>2097012.324</v>
      </c>
      <c r="AD74" s="36">
        <f>INDEX('[3]1.2'!$1:$104,MATCH(AD$3,'[3]1.2'!$A:$A,0),MATCH(Summary!$C74,'[3]1.2'!$1:$1,0))</f>
        <v>2556717.233</v>
      </c>
      <c r="AE74" s="36">
        <f t="shared" si="15"/>
        <v>455371.054</v>
      </c>
      <c r="AF74" s="36">
        <f t="shared" si="15"/>
        <v>2045466.347</v>
      </c>
      <c r="AG74" s="36">
        <f>INDEX('[3]1.2'!$1:$104,MATCH(AG$3,'[3]1.2'!$A:$A,0),MATCH(Summary!$C74,'[3]1.2'!$1:$1,0))</f>
        <v>2500837.401</v>
      </c>
      <c r="AH74" s="36">
        <f t="shared" ref="AH74:AL74" si="16">AH75+AH76</f>
        <v>466237.976</v>
      </c>
      <c r="AI74" s="36">
        <f t="shared" si="16"/>
        <v>1989553.435</v>
      </c>
      <c r="AJ74" s="36">
        <f>INDEX('[3]1.2'!$1:$104,MATCH(AJ$3,'[3]1.2'!$A:$A,0),MATCH(Summary!$C74,'[3]1.2'!$1:$1,0))</f>
        <v>2455791.411</v>
      </c>
      <c r="AK74" s="36">
        <f t="shared" si="16"/>
        <v>462622.245</v>
      </c>
      <c r="AL74" s="36">
        <f t="shared" si="16"/>
        <v>1982694.969</v>
      </c>
      <c r="AM74" s="36">
        <f>INDEX('[3]1.2'!$1:$104,MATCH(AM$3,'[3]1.2'!$A:$A,0),MATCH(Summary!$C74,'[3]1.2'!$1:$1,0))</f>
        <v>2445317.214</v>
      </c>
      <c r="AN74" s="36">
        <f t="shared" ref="AN74:AR74" si="17">AN75+AN76</f>
        <v>472307.547</v>
      </c>
      <c r="AO74" s="36">
        <f t="shared" si="17"/>
        <v>1979012.926</v>
      </c>
      <c r="AP74" s="36">
        <f>INDEX('[3]1.2'!$1:$104,MATCH(AP$3,'[3]1.2'!$A:$A,0),MATCH(Summary!$C74,'[3]1.2'!$1:$1,0))</f>
        <v>2451320.473</v>
      </c>
      <c r="AQ74" s="36">
        <f t="shared" si="17"/>
        <v>489459.1</v>
      </c>
      <c r="AR74" s="36">
        <f t="shared" si="17"/>
        <v>1944036.715</v>
      </c>
      <c r="AS74" s="36">
        <f>INDEX('[3]1.2'!$1:$104,MATCH(AS$3,'[3]1.2'!$A:$A,0),MATCH(Summary!$C74,'[3]1.2'!$1:$1,0))</f>
        <v>2433495.815</v>
      </c>
      <c r="AT74" s="36">
        <f t="shared" ref="AT74:AX74" si="18">AT75+AT76</f>
        <v>497502.036</v>
      </c>
      <c r="AU74" s="36">
        <f t="shared" si="18"/>
        <v>1966932.118</v>
      </c>
      <c r="AV74" s="36">
        <f>INDEX('[3]1.2'!$1:$104,MATCH(AV$3,'[3]1.2'!$A:$A,0),MATCH(Summary!$C74,'[3]1.2'!$1:$1,0))</f>
        <v>2464434.154</v>
      </c>
      <c r="AW74" s="36">
        <f t="shared" si="18"/>
        <v>492832.735</v>
      </c>
      <c r="AX74" s="36">
        <f t="shared" si="18"/>
        <v>2015447.216</v>
      </c>
      <c r="AY74" s="36">
        <f>INDEX('[3]1.2'!$1:$104,MATCH(AY$3,'[3]1.2'!$A:$A,0),MATCH(Summary!$C74,'[3]1.2'!$1:$1,0))</f>
        <v>2508279.951</v>
      </c>
      <c r="AZ74" s="36">
        <f t="shared" ref="AZ74:BD74" si="19">AZ75+AZ76</f>
        <v>532946.304</v>
      </c>
      <c r="BA74" s="36">
        <f t="shared" si="19"/>
        <v>1884879.472</v>
      </c>
      <c r="BB74" s="36">
        <f>INDEX('[3]1.2'!$1:$104,MATCH(BB$3,'[3]1.2'!$A:$A,0),MATCH(Summary!$C74,'[3]1.2'!$1:$1,0))</f>
        <v>2417825.776</v>
      </c>
      <c r="BC74" s="36">
        <f t="shared" si="19"/>
        <v>718314.695</v>
      </c>
      <c r="BD74" s="36">
        <f t="shared" si="19"/>
        <v>1845049.86</v>
      </c>
      <c r="BE74" s="36">
        <f>INDEX('[3]1.2'!$1:$104,MATCH(BE$3,'[3]1.2'!$A:$A,0),MATCH(Summary!$C74,'[3]1.2'!$1:$1,0))</f>
        <v>2563364.555</v>
      </c>
      <c r="BF74" s="36">
        <f t="shared" ref="BF74:BJ74" si="20">BF75+BF76</f>
        <v>883784.902</v>
      </c>
      <c r="BG74" s="36">
        <f t="shared" si="20"/>
        <v>1977172.241</v>
      </c>
      <c r="BH74" s="36">
        <f>INDEX('[3]1.2'!$1:$104,MATCH(BH$3,'[3]1.2'!$A:$A,0),MATCH(Summary!$C74,'[3]1.2'!$1:$1,0))</f>
        <v>2860957.143</v>
      </c>
      <c r="BI74" s="36">
        <f t="shared" si="20"/>
        <v>888726.652</v>
      </c>
      <c r="BJ74" s="36">
        <f t="shared" si="20"/>
        <v>2292125.115</v>
      </c>
      <c r="BK74" s="36">
        <f>INDEX('[3]1.2'!$1:$104,MATCH(BK$3,'[3]1.2'!$A:$A,0),MATCH(Summary!$C74,'[3]1.2'!$1:$1,0))</f>
        <v>3180851.767</v>
      </c>
    </row>
    <row r="75" s="2" customFormat="1" ht="16.5" customHeight="1" spans="1:63">
      <c r="A75" s="22" t="s">
        <v>552</v>
      </c>
      <c r="B75" s="22" t="s">
        <v>553</v>
      </c>
      <c r="C75" s="22" t="s">
        <v>554</v>
      </c>
      <c r="D75" s="42"/>
      <c r="E75" s="57" t="s">
        <v>555</v>
      </c>
      <c r="F75" s="42"/>
      <c r="G75" s="44"/>
      <c r="H75" s="45">
        <f t="shared" si="9"/>
        <v>0.249596331006875</v>
      </c>
      <c r="I75" s="46">
        <f t="shared" si="10"/>
        <v>0.111441979729754</v>
      </c>
      <c r="J75" s="47">
        <f>INDEX('[3]3.4.1'!$1:$104,MATCH(J$4,'[3]3.4.1'!$A:$A,0),MATCH(Summary!$A75,'[3]3.4.1'!$1:$1,0))</f>
        <v>461086.162</v>
      </c>
      <c r="K75" s="47">
        <f>INDEX('[3]3.4.1'!$1:$104,MATCH(K$4,'[3]3.4.1'!$A:$A,0),MATCH(Summary!$B75,'[3]3.4.1'!$1:$1,0))</f>
        <v>2277869.484</v>
      </c>
      <c r="L75" s="47">
        <f>INDEX('[3]3.4.1'!$1:$104,MATCH(L$4,'[3]3.4.1'!$A:$A,0),MATCH(Summary!$C75,'[3]3.4.1'!$1:$1,0))</f>
        <v>2738955.646</v>
      </c>
      <c r="M75" s="47">
        <f>INDEX('[3]3.4.1'!$1:$104,MATCH(M$4,'[3]3.4.1'!$A:$A,0),MATCH(Summary!$A75,'[3]3.4.1'!$1:$1,0))</f>
        <v>464027.085</v>
      </c>
      <c r="N75" s="47">
        <f>INDEX('[3]3.4.1'!$1:$104,MATCH(N$4,'[3]3.4.1'!$A:$A,0),MATCH(Summary!$B75,'[3]3.4.1'!$1:$1,0))</f>
        <v>2228592.104</v>
      </c>
      <c r="O75" s="47">
        <f>INDEX('[3]3.4.1'!$1:$104,MATCH(O$4,'[3]3.4.1'!$A:$A,0),MATCH(Summary!$C75,'[3]3.4.1'!$1:$1,0))</f>
        <v>2692619.189</v>
      </c>
      <c r="P75" s="47">
        <f>INDEX('[3]3.4.1'!$1:$104,MATCH(P$4,'[3]3.4.1'!$A:$A,0),MATCH(Summary!$A75,'[3]3.4.1'!$1:$1,0))</f>
        <v>470172.592</v>
      </c>
      <c r="Q75" s="47">
        <f>INDEX('[3]3.4.1'!$1:$104,MATCH(Q$4,'[3]3.4.1'!$A:$A,0),MATCH(Summary!$B75,'[3]3.4.1'!$1:$1,0))</f>
        <v>2194751.128</v>
      </c>
      <c r="R75" s="47">
        <f>INDEX('[3]3.4.1'!$1:$104,MATCH(R$4,'[3]3.4.1'!$A:$A,0),MATCH(Summary!$C75,'[3]3.4.1'!$1:$1,0))</f>
        <v>2664923.72</v>
      </c>
      <c r="S75" s="47">
        <f>INDEX('[3]3.4.1'!$1:$104,MATCH(S$4,'[3]3.4.1'!$A:$A,0),MATCH(Summary!$A75,'[3]3.4.1'!$1:$1,0))</f>
        <v>467276.184</v>
      </c>
      <c r="T75" s="47">
        <f>INDEX('[3]3.4.1'!$1:$104,MATCH(T$4,'[3]3.4.1'!$A:$A,0),MATCH(Summary!$B75,'[3]3.4.1'!$1:$1,0))</f>
        <v>2160366.174</v>
      </c>
      <c r="U75" s="47">
        <f>INDEX('[3]3.4.1'!$1:$104,MATCH(U$4,'[3]3.4.1'!$A:$A,0),MATCH(Summary!$C75,'[3]3.4.1'!$1:$1,0))</f>
        <v>2627642.358</v>
      </c>
      <c r="V75" s="47">
        <f>INDEX('[3]3.4.1'!$1:$104,MATCH(V$4,'[3]3.4.1'!$A:$A,0),MATCH(Summary!$A75,'[3]3.4.1'!$1:$1,0))</f>
        <v>460527.646</v>
      </c>
      <c r="W75" s="47">
        <f>INDEX('[3]3.4.1'!$1:$104,MATCH(W$4,'[3]3.4.1'!$A:$A,0),MATCH(Summary!$B75,'[3]3.4.1'!$1:$1,0))</f>
        <v>2117906.48</v>
      </c>
      <c r="X75" s="47">
        <f>INDEX('[3]3.4.1'!$1:$104,MATCH(X$4,'[3]3.4.1'!$A:$A,0),MATCH(Summary!$C75,'[3]3.4.1'!$1:$1,0))</f>
        <v>2578434.126</v>
      </c>
      <c r="Y75" s="47">
        <f>INDEX('[3]3.4.1'!$1:$104,MATCH(Y$4,'[3]3.4.1'!$A:$A,0),MATCH(Summary!$A75,'[3]3.4.1'!$1:$1,0))</f>
        <v>457349.193</v>
      </c>
      <c r="Z75" s="47">
        <f>INDEX('[3]3.4.1'!$1:$104,MATCH(Z$4,'[3]3.4.1'!$A:$A,0),MATCH(Summary!$B75,'[3]3.4.1'!$1:$1,0))</f>
        <v>2122924.978</v>
      </c>
      <c r="AA75" s="47">
        <f>INDEX('[3]3.4.1'!$1:$104,MATCH(AA$4,'[3]3.4.1'!$A:$A,0),MATCH(Summary!$C75,'[3]3.4.1'!$1:$1,0))</f>
        <v>2580274.171</v>
      </c>
      <c r="AB75" s="47">
        <f>INDEX('[3]3.4.1'!$1:$104,MATCH(AB$4,'[3]3.4.1'!$A:$A,0),MATCH(Summary!$A75,'[3]3.4.1'!$1:$1,0))</f>
        <v>459704.009</v>
      </c>
      <c r="AC75" s="47">
        <f>INDEX('[3]3.4.1'!$1:$104,MATCH(AC$4,'[3]3.4.1'!$A:$A,0),MATCH(Summary!$B75,'[3]3.4.1'!$1:$1,0))</f>
        <v>2096914.473</v>
      </c>
      <c r="AD75" s="47">
        <f>INDEX('[3]3.4.1'!$1:$104,MATCH(AD$4,'[3]3.4.1'!$A:$A,0),MATCH(Summary!$C75,'[3]3.4.1'!$1:$1,0))</f>
        <v>2556618.482</v>
      </c>
      <c r="AE75" s="47">
        <f>INDEX('[3]3.4.1'!$1:$104,MATCH(AE$4,'[3]3.4.1'!$A:$A,0),MATCH(Summary!$A75,'[3]3.4.1'!$1:$1,0))</f>
        <v>455370.154</v>
      </c>
      <c r="AF75" s="47">
        <f>INDEX('[3]3.4.1'!$1:$104,MATCH(AF$4,'[3]3.4.1'!$A:$A,0),MATCH(Summary!$B75,'[3]3.4.1'!$1:$1,0))</f>
        <v>2045357.51</v>
      </c>
      <c r="AG75" s="47">
        <f>INDEX('[3]3.4.1'!$1:$104,MATCH(AG$4,'[3]3.4.1'!$A:$A,0),MATCH(Summary!$C75,'[3]3.4.1'!$1:$1,0))</f>
        <v>2500727.664</v>
      </c>
      <c r="AH75" s="47">
        <f>INDEX('[3]3.4.1'!$1:$104,MATCH(AH$4,'[3]3.4.1'!$A:$A,0),MATCH(Summary!$A75,'[3]3.4.1'!$1:$1,0))</f>
        <v>466237.076</v>
      </c>
      <c r="AI75" s="47">
        <f>INDEX('[3]3.4.1'!$1:$104,MATCH(AI$4,'[3]3.4.1'!$A:$A,0),MATCH(Summary!$B75,'[3]3.4.1'!$1:$1,0))</f>
        <v>1989444.555</v>
      </c>
      <c r="AJ75" s="47">
        <f>INDEX('[3]3.4.1'!$1:$104,MATCH(AJ$4,'[3]3.4.1'!$A:$A,0),MATCH(Summary!$C75,'[3]3.4.1'!$1:$1,0))</f>
        <v>2455681.631</v>
      </c>
      <c r="AK75" s="47">
        <f>INDEX('[3]3.4.1'!$1:$104,MATCH(AK$4,'[3]3.4.1'!$A:$A,0),MATCH(Summary!$A75,'[3]3.4.1'!$1:$1,0))</f>
        <v>462621.345</v>
      </c>
      <c r="AL75" s="47">
        <f>INDEX('[3]3.4.1'!$1:$104,MATCH(AL$4,'[3]3.4.1'!$A:$A,0),MATCH(Summary!$B75,'[3]3.4.1'!$1:$1,0))</f>
        <v>1982597.622</v>
      </c>
      <c r="AM75" s="47">
        <f>INDEX('[3]3.4.1'!$1:$104,MATCH(AM$4,'[3]3.4.1'!$A:$A,0),MATCH(Summary!$C75,'[3]3.4.1'!$1:$1,0))</f>
        <v>2445218.967</v>
      </c>
      <c r="AN75" s="47">
        <f>INDEX('[3]3.4.1'!$1:$104,MATCH(AN$4,'[3]3.4.1'!$A:$A,0),MATCH(Summary!$A75,'[3]3.4.1'!$1:$1,0))</f>
        <v>472306.647</v>
      </c>
      <c r="AO75" s="47">
        <f>INDEX('[3]3.4.1'!$1:$104,MATCH(AO$4,'[3]3.4.1'!$A:$A,0),MATCH(Summary!$B75,'[3]3.4.1'!$1:$1,0))</f>
        <v>1978905.533</v>
      </c>
      <c r="AP75" s="47">
        <f>INDEX('[3]3.4.1'!$1:$104,MATCH(AP$4,'[3]3.4.1'!$A:$A,0),MATCH(Summary!$C75,'[3]3.4.1'!$1:$1,0))</f>
        <v>2451212.18</v>
      </c>
      <c r="AQ75" s="47">
        <f>INDEX('[3]3.4.1'!$1:$104,MATCH(AQ$4,'[3]3.4.1'!$A:$A,0),MATCH(Summary!$A75,'[3]3.4.1'!$1:$1,0))</f>
        <v>489457.9</v>
      </c>
      <c r="AR75" s="47">
        <f>INDEX('[3]3.4.1'!$1:$104,MATCH(AR$4,'[3]3.4.1'!$A:$A,0),MATCH(Summary!$B75,'[3]3.4.1'!$1:$1,0))</f>
        <v>1943926.614</v>
      </c>
      <c r="AS75" s="47">
        <f>INDEX('[3]3.4.1'!$1:$104,MATCH(AS$4,'[3]3.4.1'!$A:$A,0),MATCH(Summary!$C75,'[3]3.4.1'!$1:$1,0))</f>
        <v>2433384.514</v>
      </c>
      <c r="AT75" s="47">
        <f>INDEX('[3]3.4.1'!$1:$104,MATCH(AT$4,'[3]3.4.1'!$A:$A,0),MATCH(Summary!$A75,'[3]3.4.1'!$1:$1,0))</f>
        <v>497500.836</v>
      </c>
      <c r="AU75" s="47">
        <f>INDEX('[3]3.4.1'!$1:$104,MATCH(AU$4,'[3]3.4.1'!$A:$A,0),MATCH(Summary!$B75,'[3]3.4.1'!$1:$1,0))</f>
        <v>1966825.414</v>
      </c>
      <c r="AV75" s="47">
        <f>INDEX('[3]3.4.1'!$1:$104,MATCH(AV$4,'[3]3.4.1'!$A:$A,0),MATCH(Summary!$C75,'[3]3.4.1'!$1:$1,0))</f>
        <v>2464326.25</v>
      </c>
      <c r="AW75" s="47">
        <f>INDEX('[3]3.4.1'!$1:$104,MATCH(AW$4,'[3]3.4.1'!$A:$A,0),MATCH(Summary!$A75,'[3]3.4.1'!$1:$1,0))</f>
        <v>492831.535</v>
      </c>
      <c r="AX75" s="47">
        <f>INDEX('[3]3.4.1'!$1:$104,MATCH(AX$4,'[3]3.4.1'!$A:$A,0),MATCH(Summary!$B75,'[3]3.4.1'!$1:$1,0))</f>
        <v>2015341.516</v>
      </c>
      <c r="AY75" s="47">
        <f>INDEX('[3]3.4.1'!$1:$104,MATCH(AY$4,'[3]3.4.1'!$A:$A,0),MATCH(Summary!$C75,'[3]3.4.1'!$1:$1,0))</f>
        <v>2508173.051</v>
      </c>
      <c r="AZ75" s="47">
        <f>INDEX('[3]3.4.1'!$1:$104,MATCH(AZ$4,'[3]3.4.1'!$A:$A,0),MATCH(Summary!$A75,'[3]3.4.1'!$1:$1,0))</f>
        <v>532944.804</v>
      </c>
      <c r="BA75" s="47">
        <f>INDEX('[3]3.4.1'!$1:$104,MATCH(BA$4,'[3]3.4.1'!$A:$A,0),MATCH(Summary!$B75,'[3]3.4.1'!$1:$1,0))</f>
        <v>1884775.988</v>
      </c>
      <c r="BB75" s="47">
        <f>INDEX('[3]3.4.1'!$1:$104,MATCH(BB$4,'[3]3.4.1'!$A:$A,0),MATCH(Summary!$C75,'[3]3.4.1'!$1:$1,0))</f>
        <v>2417720.792</v>
      </c>
      <c r="BC75" s="47">
        <f>INDEX('[3]3.4.1'!$1:$104,MATCH(BC$4,'[3]3.4.1'!$A:$A,0),MATCH(Summary!$A75,'[3]3.4.1'!$1:$1,0))</f>
        <v>718313.295</v>
      </c>
      <c r="BD75" s="47">
        <f>INDEX('[3]3.4.1'!$1:$104,MATCH(BD$4,'[3]3.4.1'!$A:$A,0),MATCH(Summary!$B75,'[3]3.4.1'!$1:$1,0))</f>
        <v>1844955.529</v>
      </c>
      <c r="BE75" s="47">
        <f>INDEX('[3]3.4.1'!$1:$104,MATCH(BE$4,'[3]3.4.1'!$A:$A,0),MATCH(Summary!$C75,'[3]3.4.1'!$1:$1,0))</f>
        <v>2563268.824</v>
      </c>
      <c r="BF75" s="47">
        <f>INDEX('[3]3.4.1'!$1:$104,MATCH(BF$4,'[3]3.4.1'!$A:$A,0),MATCH(Summary!$A75,'[3]3.4.1'!$1:$1,0))</f>
        <v>883783.402</v>
      </c>
      <c r="BG75" s="47">
        <f>INDEX('[3]3.4.1'!$1:$104,MATCH(BG$4,'[3]3.4.1'!$A:$A,0),MATCH(Summary!$B75,'[3]3.4.1'!$1:$1,0))</f>
        <v>1976831.037</v>
      </c>
      <c r="BH75" s="47">
        <f>INDEX('[3]3.4.1'!$1:$104,MATCH(BH$4,'[3]3.4.1'!$A:$A,0),MATCH(Summary!$C75,'[3]3.4.1'!$1:$1,0))</f>
        <v>2860614.439</v>
      </c>
      <c r="BI75" s="47">
        <f>INDEX('[3]3.4.1'!$1:$104,MATCH(BI$4,'[3]3.4.1'!$A:$A,0),MATCH(Summary!$A75,'[3]3.4.1'!$1:$1,0))</f>
        <v>888678.052</v>
      </c>
      <c r="BJ75" s="47">
        <f>INDEX('[3]3.4.1'!$1:$104,MATCH(BJ$4,'[3]3.4.1'!$A:$A,0),MATCH(Summary!$B75,'[3]3.4.1'!$1:$1,0))</f>
        <v>2291728.488</v>
      </c>
      <c r="BK75" s="47">
        <f>INDEX('[3]3.4.1'!$1:$104,MATCH(BK$4,'[3]3.4.1'!$A:$A,0),MATCH(Summary!$C75,'[3]3.4.1'!$1:$1,0))</f>
        <v>3180406.54</v>
      </c>
    </row>
    <row r="76" s="2" customFormat="1" ht="16.5" customHeight="1" spans="1:63">
      <c r="A76" s="22" t="s">
        <v>556</v>
      </c>
      <c r="B76" s="22" t="s">
        <v>557</v>
      </c>
      <c r="C76" s="22" t="s">
        <v>558</v>
      </c>
      <c r="D76" s="63"/>
      <c r="E76" s="64" t="s">
        <v>559</v>
      </c>
      <c r="F76" s="63"/>
      <c r="G76" s="65"/>
      <c r="H76" s="66">
        <f>O76/$O$12</f>
        <v>2.90529319495891e-6</v>
      </c>
      <c r="I76" s="67">
        <f>IFERROR(L76/AV76-1,"")</f>
        <v>-0.707814353499407</v>
      </c>
      <c r="J76" s="68">
        <f>INDEX('[3]3.4.1'!$1:$104,MATCH(J$4,'[3]3.4.1'!$A:$A,0),MATCH(Summary!$A76,'[3]3.4.1'!$1:$1,0))</f>
        <v>0.6</v>
      </c>
      <c r="K76" s="68">
        <f>INDEX('[3]3.4.1'!$1:$104,MATCH(K$4,'[3]3.4.1'!$A:$A,0),MATCH(Summary!$B76,'[3]3.4.1'!$1:$1,0))</f>
        <v>30.928</v>
      </c>
      <c r="L76" s="68">
        <f>INDEX('[3]3.4.1'!$1:$104,MATCH(L$4,'[3]3.4.1'!$A:$A,0),MATCH(Summary!$C76,'[3]3.4.1'!$1:$1,0))</f>
        <v>31.528</v>
      </c>
      <c r="M76" s="68">
        <f>INDEX('[3]3.4.1'!$1:$104,MATCH(M$4,'[3]3.4.1'!$A:$A,0),MATCH(Summary!$A76,'[3]3.4.1'!$1:$1,0))</f>
        <v>0.6</v>
      </c>
      <c r="N76" s="68">
        <f>INDEX('[3]3.4.1'!$1:$104,MATCH(N$4,'[3]3.4.1'!$A:$A,0),MATCH(Summary!$B76,'[3]3.4.1'!$1:$1,0))</f>
        <v>30.742</v>
      </c>
      <c r="O76" s="68">
        <f>INDEX('[3]3.4.1'!$1:$104,MATCH(O$4,'[3]3.4.1'!$A:$A,0),MATCH(Summary!$C76,'[3]3.4.1'!$1:$1,0))</f>
        <v>31.342</v>
      </c>
      <c r="P76" s="68">
        <f>INDEX('[3]3.4.1'!$1:$104,MATCH(P$4,'[3]3.4.1'!$A:$A,0),MATCH(Summary!$A76,'[3]3.4.1'!$1:$1,0))</f>
        <v>0.6</v>
      </c>
      <c r="Q76" s="68">
        <f>INDEX('[3]3.4.1'!$1:$104,MATCH(Q$4,'[3]3.4.1'!$A:$A,0),MATCH(Summary!$B76,'[3]3.4.1'!$1:$1,0))</f>
        <v>21.615</v>
      </c>
      <c r="R76" s="68">
        <f>INDEX('[3]3.4.1'!$1:$104,MATCH(R$4,'[3]3.4.1'!$A:$A,0),MATCH(Summary!$C76,'[3]3.4.1'!$1:$1,0))</f>
        <v>22.215</v>
      </c>
      <c r="S76" s="68">
        <f>INDEX('[3]3.4.1'!$1:$104,MATCH(S$4,'[3]3.4.1'!$A:$A,0),MATCH(Summary!$A76,'[3]3.4.1'!$1:$1,0))</f>
        <v>0.6</v>
      </c>
      <c r="T76" s="68">
        <f>INDEX('[3]3.4.1'!$1:$104,MATCH(T$4,'[3]3.4.1'!$A:$A,0),MATCH(Summary!$B76,'[3]3.4.1'!$1:$1,0))</f>
        <v>19.166</v>
      </c>
      <c r="U76" s="68">
        <f>INDEX('[3]3.4.1'!$1:$104,MATCH(U$4,'[3]3.4.1'!$A:$A,0),MATCH(Summary!$C76,'[3]3.4.1'!$1:$1,0))</f>
        <v>19.766</v>
      </c>
      <c r="V76" s="68">
        <f>INDEX('[3]3.4.1'!$1:$104,MATCH(V$4,'[3]3.4.1'!$A:$A,0),MATCH(Summary!$A76,'[3]3.4.1'!$1:$1,0))</f>
        <v>0.6</v>
      </c>
      <c r="W76" s="68">
        <f>INDEX('[3]3.4.1'!$1:$104,MATCH(W$4,'[3]3.4.1'!$A:$A,0),MATCH(Summary!$B76,'[3]3.4.1'!$1:$1,0))</f>
        <v>21.564</v>
      </c>
      <c r="X76" s="68">
        <f>INDEX('[3]3.4.1'!$1:$104,MATCH(X$4,'[3]3.4.1'!$A:$A,0),MATCH(Summary!$C76,'[3]3.4.1'!$1:$1,0))</f>
        <v>22.164</v>
      </c>
      <c r="Y76" s="68">
        <f>INDEX('[3]3.4.1'!$1:$104,MATCH(Y$4,'[3]3.4.1'!$A:$A,0),MATCH(Summary!$A76,'[3]3.4.1'!$1:$1,0))</f>
        <v>0.9</v>
      </c>
      <c r="Z76" s="68">
        <f>INDEX('[3]3.4.1'!$1:$104,MATCH(Z$4,'[3]3.4.1'!$A:$A,0),MATCH(Summary!$B76,'[3]3.4.1'!$1:$1,0))</f>
        <v>97.823</v>
      </c>
      <c r="AA76" s="68">
        <f>INDEX('[3]3.4.1'!$1:$104,MATCH(AA$4,'[3]3.4.1'!$A:$A,0),MATCH(Summary!$C76,'[3]3.4.1'!$1:$1,0))</f>
        <v>98.723</v>
      </c>
      <c r="AB76" s="68">
        <f>INDEX('[3]3.4.1'!$1:$104,MATCH(AB$4,'[3]3.4.1'!$A:$A,0),MATCH(Summary!$A76,'[3]3.4.1'!$1:$1,0))</f>
        <v>0.9</v>
      </c>
      <c r="AC76" s="68">
        <f>INDEX('[3]3.4.1'!$1:$104,MATCH(AC$4,'[3]3.4.1'!$A:$A,0),MATCH(Summary!$B76,'[3]3.4.1'!$1:$1,0))</f>
        <v>97.851</v>
      </c>
      <c r="AD76" s="68">
        <f>INDEX('[3]3.4.1'!$1:$104,MATCH(AD$4,'[3]3.4.1'!$A:$A,0),MATCH(Summary!$C76,'[3]3.4.1'!$1:$1,0))</f>
        <v>98.751</v>
      </c>
      <c r="AE76" s="68">
        <f>INDEX('[3]3.4.1'!$1:$104,MATCH(AE$4,'[3]3.4.1'!$A:$A,0),MATCH(Summary!$A76,'[3]3.4.1'!$1:$1,0))</f>
        <v>0.9</v>
      </c>
      <c r="AF76" s="68">
        <f>INDEX('[3]3.4.1'!$1:$104,MATCH(AF$4,'[3]3.4.1'!$A:$A,0),MATCH(Summary!$B76,'[3]3.4.1'!$1:$1,0))</f>
        <v>108.837</v>
      </c>
      <c r="AG76" s="68">
        <f>INDEX('[3]3.4.1'!$1:$104,MATCH(AG$4,'[3]3.4.1'!$A:$A,0),MATCH(Summary!$C76,'[3]3.4.1'!$1:$1,0))</f>
        <v>109.737</v>
      </c>
      <c r="AH76" s="68">
        <f>INDEX('[3]3.4.1'!$1:$104,MATCH(AH$4,'[3]3.4.1'!$A:$A,0),MATCH(Summary!$A76,'[3]3.4.1'!$1:$1,0))</f>
        <v>0.9</v>
      </c>
      <c r="AI76" s="68">
        <f>INDEX('[3]3.4.1'!$1:$104,MATCH(AI$4,'[3]3.4.1'!$A:$A,0),MATCH(Summary!$B76,'[3]3.4.1'!$1:$1,0))</f>
        <v>108.88</v>
      </c>
      <c r="AJ76" s="68">
        <f>INDEX('[3]3.4.1'!$1:$104,MATCH(AJ$4,'[3]3.4.1'!$A:$A,0),MATCH(Summary!$C76,'[3]3.4.1'!$1:$1,0))</f>
        <v>109.78</v>
      </c>
      <c r="AK76" s="68">
        <f>INDEX('[3]3.4.1'!$1:$104,MATCH(AK$4,'[3]3.4.1'!$A:$A,0),MATCH(Summary!$A76,'[3]3.4.1'!$1:$1,0))</f>
        <v>0.9</v>
      </c>
      <c r="AL76" s="68">
        <f>INDEX('[3]3.4.1'!$1:$104,MATCH(AL$4,'[3]3.4.1'!$A:$A,0),MATCH(Summary!$B76,'[3]3.4.1'!$1:$1,0))</f>
        <v>97.347</v>
      </c>
      <c r="AM76" s="68">
        <f>INDEX('[3]3.4.1'!$1:$104,MATCH(AM$4,'[3]3.4.1'!$A:$A,0),MATCH(Summary!$C76,'[3]3.4.1'!$1:$1,0))</f>
        <v>98.247</v>
      </c>
      <c r="AN76" s="68">
        <f>INDEX('[3]3.4.1'!$1:$104,MATCH(AN$4,'[3]3.4.1'!$A:$A,0),MATCH(Summary!$A76,'[3]3.4.1'!$1:$1,0))</f>
        <v>0.9</v>
      </c>
      <c r="AO76" s="68">
        <f>INDEX('[3]3.4.1'!$1:$104,MATCH(AO$4,'[3]3.4.1'!$A:$A,0),MATCH(Summary!$B76,'[3]3.4.1'!$1:$1,0))</f>
        <v>107.393</v>
      </c>
      <c r="AP76" s="68">
        <f>INDEX('[3]3.4.1'!$1:$104,MATCH(AP$4,'[3]3.4.1'!$A:$A,0),MATCH(Summary!$C76,'[3]3.4.1'!$1:$1,0))</f>
        <v>108.293</v>
      </c>
      <c r="AQ76" s="68">
        <f>INDEX('[3]3.4.1'!$1:$104,MATCH(AQ$4,'[3]3.4.1'!$A:$A,0),MATCH(Summary!$A76,'[3]3.4.1'!$1:$1,0))</f>
        <v>1.2</v>
      </c>
      <c r="AR76" s="68">
        <f>INDEX('[3]3.4.1'!$1:$104,MATCH(AR$4,'[3]3.4.1'!$A:$A,0),MATCH(Summary!$B76,'[3]3.4.1'!$1:$1,0))</f>
        <v>110.101</v>
      </c>
      <c r="AS76" s="68">
        <f>INDEX('[3]3.4.1'!$1:$104,MATCH(AS$4,'[3]3.4.1'!$A:$A,0),MATCH(Summary!$C76,'[3]3.4.1'!$1:$1,0))</f>
        <v>111.301</v>
      </c>
      <c r="AT76" s="68">
        <f>INDEX('[3]3.4.1'!$1:$104,MATCH(AT$4,'[3]3.4.1'!$A:$A,0),MATCH(Summary!$A76,'[3]3.4.1'!$1:$1,0))</f>
        <v>1.2</v>
      </c>
      <c r="AU76" s="68">
        <f>INDEX('[3]3.4.1'!$1:$104,MATCH(AU$4,'[3]3.4.1'!$A:$A,0),MATCH(Summary!$B76,'[3]3.4.1'!$1:$1,0))</f>
        <v>106.704</v>
      </c>
      <c r="AV76" s="68">
        <f>INDEX('[3]3.4.1'!$1:$104,MATCH(AV$4,'[3]3.4.1'!$A:$A,0),MATCH(Summary!$C76,'[3]3.4.1'!$1:$1,0))</f>
        <v>107.904</v>
      </c>
      <c r="AW76" s="68">
        <f>INDEX('[3]3.4.1'!$1:$104,MATCH(AW$4,'[3]3.4.1'!$A:$A,0),MATCH(Summary!$A76,'[3]3.4.1'!$1:$1,0))</f>
        <v>1.2</v>
      </c>
      <c r="AX76" s="68">
        <f>INDEX('[3]3.4.1'!$1:$104,MATCH(AX$4,'[3]3.4.1'!$A:$A,0),MATCH(Summary!$B76,'[3]3.4.1'!$1:$1,0))</f>
        <v>105.7</v>
      </c>
      <c r="AY76" s="68">
        <f>INDEX('[3]3.4.1'!$1:$104,MATCH(AY$4,'[3]3.4.1'!$A:$A,0),MATCH(Summary!$C76,'[3]3.4.1'!$1:$1,0))</f>
        <v>106.9</v>
      </c>
      <c r="AZ76" s="68">
        <f>INDEX('[3]3.4.1'!$1:$104,MATCH(AZ$4,'[3]3.4.1'!$A:$A,0),MATCH(Summary!$A76,'[3]3.4.1'!$1:$1,0))</f>
        <v>1.5</v>
      </c>
      <c r="BA76" s="68">
        <f>INDEX('[3]3.4.1'!$1:$104,MATCH(BA$4,'[3]3.4.1'!$A:$A,0),MATCH(Summary!$B76,'[3]3.4.1'!$1:$1,0))</f>
        <v>103.484</v>
      </c>
      <c r="BB76" s="68">
        <f>INDEX('[3]3.4.1'!$1:$104,MATCH(BB$4,'[3]3.4.1'!$A:$A,0),MATCH(Summary!$C76,'[3]3.4.1'!$1:$1,0))</f>
        <v>104.984</v>
      </c>
      <c r="BC76" s="68">
        <f>INDEX('[3]3.4.1'!$1:$104,MATCH(BC$4,'[3]3.4.1'!$A:$A,0),MATCH(Summary!$A76,'[3]3.4.1'!$1:$1,0))</f>
        <v>1.4</v>
      </c>
      <c r="BD76" s="68">
        <f>INDEX('[3]3.4.1'!$1:$104,MATCH(BD$4,'[3]3.4.1'!$A:$A,0),MATCH(Summary!$B76,'[3]3.4.1'!$1:$1,0))</f>
        <v>94.331</v>
      </c>
      <c r="BE76" s="68">
        <f>INDEX('[3]3.4.1'!$1:$104,MATCH(BE$4,'[3]3.4.1'!$A:$A,0),MATCH(Summary!$C76,'[3]3.4.1'!$1:$1,0))</f>
        <v>95.731</v>
      </c>
      <c r="BF76" s="68">
        <f>INDEX('[3]3.4.1'!$1:$104,MATCH(BF$4,'[3]3.4.1'!$A:$A,0),MATCH(Summary!$A76,'[3]3.4.1'!$1:$1,0))</f>
        <v>1.5</v>
      </c>
      <c r="BG76" s="68">
        <f>INDEX('[3]3.4.1'!$1:$104,MATCH(BG$4,'[3]3.4.1'!$A:$A,0),MATCH(Summary!$B76,'[3]3.4.1'!$1:$1,0))</f>
        <v>341.204</v>
      </c>
      <c r="BH76" s="68">
        <f>INDEX('[3]3.4.1'!$1:$104,MATCH(BH$4,'[3]3.4.1'!$A:$A,0),MATCH(Summary!$C76,'[3]3.4.1'!$1:$1,0))</f>
        <v>342.704</v>
      </c>
      <c r="BI76" s="68">
        <f>INDEX('[3]3.4.1'!$1:$104,MATCH(BI$4,'[3]3.4.1'!$A:$A,0),MATCH(Summary!$A76,'[3]3.4.1'!$1:$1,0))</f>
        <v>48.6</v>
      </c>
      <c r="BJ76" s="68">
        <f>INDEX('[3]3.4.1'!$1:$104,MATCH(BJ$4,'[3]3.4.1'!$A:$A,0),MATCH(Summary!$B76,'[3]3.4.1'!$1:$1,0))</f>
        <v>396.627</v>
      </c>
      <c r="BK76" s="68">
        <f>INDEX('[3]3.4.1'!$1:$104,MATCH(BK$4,'[3]3.4.1'!$A:$A,0),MATCH(Summary!$C76,'[3]3.4.1'!$1:$1,0))</f>
        <v>445.227</v>
      </c>
    </row>
    <row r="77" s="1" customFormat="1" spans="1:63">
      <c r="F77" s="69"/>
      <c r="G77" s="69"/>
    </row>
    <row r="78" spans="1:63">
      <c r="A78" s="22"/>
      <c r="C78" s="22"/>
      <c r="E78" s="69" t="s">
        <v>560</v>
      </c>
      <c r="F78" s="69" t="s">
        <v>561</v>
      </c>
      <c r="G78" s="69"/>
      <c r="H78" s="69"/>
      <c r="I78" s="69"/>
      <c r="J78" s="69"/>
      <c r="K78" s="69"/>
      <c r="L78" s="69"/>
      <c r="M78" s="69"/>
      <c r="N78" s="69"/>
      <c r="O78" s="69" t="s">
        <v>560</v>
      </c>
      <c r="P78" s="69" t="s">
        <v>562</v>
      </c>
      <c r="Q78" s="69"/>
      <c r="R78" s="69" t="s">
        <v>562</v>
      </c>
      <c r="S78" s="69"/>
      <c r="T78" s="69"/>
      <c r="U78" s="69"/>
      <c r="V78" s="69"/>
    </row>
    <row r="79" spans="1:63">
      <c r="E79" s="69"/>
      <c r="F79" s="69" t="s">
        <v>563</v>
      </c>
      <c r="G79" s="69"/>
      <c r="H79" s="69"/>
      <c r="I79" s="69"/>
      <c r="J79" s="69"/>
      <c r="K79" s="69"/>
      <c r="L79" s="69"/>
      <c r="M79" s="69"/>
      <c r="N79" s="69"/>
      <c r="O79" s="69"/>
      <c r="P79" s="69" t="s">
        <v>564</v>
      </c>
      <c r="Q79" s="69"/>
      <c r="R79" s="69" t="s">
        <v>564</v>
      </c>
      <c r="S79" s="69"/>
      <c r="T79" s="69"/>
      <c r="U79" s="69"/>
      <c r="V79" s="69"/>
    </row>
    <row r="80" spans="1:63">
      <c r="E80" s="69"/>
      <c r="F80" s="69" t="s">
        <v>565</v>
      </c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</row>
    <row r="89" spans="6:6">
      <c r="F89" s="69"/>
    </row>
  </sheetData>
  <conditionalFormatting sqref="H13:H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{47d36b39-c2a9-4576-9b3d-0bd708fae553}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d36b39-c2a9-4576-9b3d-0bd708fae5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H13:H76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00 Index</vt:lpstr>
      <vt:lpstr>01 Snapshot</vt:lpstr>
      <vt:lpstr>02 Trade finance trend</vt:lpstr>
      <vt:lpstr>03 Lenders 2024</vt:lpstr>
      <vt:lpstr>04 Sources</vt:lpstr>
      <vt:lpstr>A HKMA 1.2</vt:lpstr>
      <vt:lpstr>A HKMA 3.4.1</vt:lpstr>
      <vt:lpstr>A HKMA 3.5.1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KITLAM</cp:lastModifiedBy>
  <dcterms:created xsi:type="dcterms:W3CDTF">2026-10-02T14:47:00Z</dcterms:created>
  <dcterms:modified xsi:type="dcterms:W3CDTF">2026-10-02T14:51:54Z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A0C3F0E23D0F08478A54BF6A31F07F60_42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