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560" windowHeight="13080" tabRatio="730" firstSheet="4" activeTab="8"/>
  </bookViews>
  <sheets>
    <sheet name="Summary" sheetId="1" r:id="rId1"/>
    <sheet name="Chart" sheetId="13" r:id="rId2"/>
    <sheet name="Data Source" sheetId="5" r:id="rId3"/>
    <sheet name="Hong Kong trade finance lenders" sheetId="14" r:id="rId4"/>
    <sheet name="1.2" sheetId="10" r:id="rId5"/>
    <sheet name="3.4.1" sheetId="6" r:id="rId6"/>
    <sheet name="3.5.1" sheetId="7" r:id="rId7"/>
    <sheet name="3.13.1" sheetId="9" r:id="rId8"/>
    <sheet name="Economics Sectors(integrate)" sheetId="4" r:id="rId9"/>
  </sheets>
  <externalReferences>
    <externalReference r:id="rId10"/>
    <externalReference r:id="rId11"/>
    <externalReference r:id="rId12"/>
  </externalReferences>
  <definedNames>
    <definedName name="__gdp2">#REF!</definedName>
    <definedName name="__nlp2">#REF!</definedName>
    <definedName name="__Old3">'[1]T103'!#REF!</definedName>
    <definedName name="__Old4">'[1]T208'!#REF!</definedName>
    <definedName name="__Old5">'[1]T208'!#REF!</definedName>
    <definedName name="__Old6">'[1]T208'!#REF!</definedName>
    <definedName name="__Old7">'[1]T208'!#REF!</definedName>
    <definedName name="__old8">'[1]T208'!#REF!</definedName>
    <definedName name="_gdp2">#REF!</definedName>
    <definedName name="_nlp2">#REF!</definedName>
    <definedName name="_PMI2">#REF!</definedName>
    <definedName name="bad_debt">#REF!</definedName>
    <definedName name="bankruptcy">#REF!</definedName>
    <definedName name="BoxPlot">"BoxPlot"</definedName>
    <definedName name="Bubble">"Bubble"</definedName>
    <definedName name="buy_rent_gap">#REF!</definedName>
    <definedName name="CAB">#REF!</definedName>
    <definedName name="Candlestick">"Candlestick"</definedName>
    <definedName name="car">#REF!</definedName>
    <definedName name="Chart">"Chart"</definedName>
    <definedName name="ChartImage">"ChartImage"</definedName>
    <definedName name="CMTH5">'[1]T208'!#REF!</definedName>
    <definedName name="CMTH6">'[1]T208'!#REF!</definedName>
    <definedName name="CMTH7">'[1]T208'!#REF!</definedName>
    <definedName name="ColumnRange">"ColumnRange"</definedName>
    <definedName name="cpi">#REF!</definedName>
    <definedName name="data" localSheetId="8">#REF!</definedName>
    <definedName name="DATA">'[1]T5011'!#REF!</definedName>
    <definedName name="DATA1">'[1]T502'!#REF!</definedName>
    <definedName name="data2" localSheetId="8">#REF!</definedName>
    <definedName name="DATA2">'[1]T502'!#REF!</definedName>
    <definedName name="deposits">#REF!</definedName>
    <definedName name="Dumbbell">"Dumbbell"</definedName>
    <definedName name="equity">#REF!</definedName>
    <definedName name="fiscal">#REF!</definedName>
    <definedName name="fwd">#REF!</definedName>
    <definedName name="gdp">#REF!</definedName>
    <definedName name="Heatmap">"Heatmap"</definedName>
    <definedName name="Histogram">"Histogram"</definedName>
    <definedName name="insert">[2]!insert</definedName>
    <definedName name="interes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#REF!</definedName>
    <definedName name="loan">#REF!</definedName>
    <definedName name="loans">#REF!</definedName>
    <definedName name="LTD">#REF!</definedName>
    <definedName name="Map">"Map"</definedName>
    <definedName name="mci">#REF!</definedName>
    <definedName name="money">#REF!</definedName>
    <definedName name="Month_date">'[1]T305'!#REF!</definedName>
    <definedName name="NIM">#REF!</definedName>
    <definedName name="np1_2" localSheetId="1">#REF!</definedName>
    <definedName name="npl">#REF!</definedName>
    <definedName name="OHLC">"OHLC"</definedName>
    <definedName name="OLD">#REF!</definedName>
    <definedName name="PieChart">"PieChart"</definedName>
    <definedName name="pmi">#REF!</definedName>
    <definedName name="PMTHO">'[1]T208'!#REF!</definedName>
    <definedName name="property">#REF!</definedName>
    <definedName name="Quarter_date">'[1]T305'!#REF!</definedName>
    <definedName name="reserves">#REF!</definedName>
    <definedName name="retail">#REF!</definedName>
    <definedName name="S_and_P">#REF!</definedName>
    <definedName name="Scatter">"Scatter"</definedName>
    <definedName name="Series">"Series"</definedName>
    <definedName name="Stripe">"Stripe"</definedName>
    <definedName name="Table">"Table"</definedName>
    <definedName name="trade">#REF!</definedName>
    <definedName name="trade2">#REF!</definedName>
    <definedName name="TreeMap">"TreeMap"</definedName>
    <definedName name="vmonth">'[1]T102'!#REF!</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<sst xmlns="http://schemas.openxmlformats.org/spreadsheetml/2006/main" count="923" uniqueCount="564">
  <si>
    <t>Table 3.5.1 : Authorized institutions  (HK$ million, unless otherwise specified)</t>
  </si>
  <si>
    <t>2026-07</t>
  </si>
  <si>
    <t>2024-00</t>
  </si>
  <si>
    <t>2023-00</t>
  </si>
  <si>
    <t>2022-00</t>
  </si>
  <si>
    <t>2021-00</t>
  </si>
  <si>
    <r>
      <rPr>
        <sz val="10"/>
        <rFont val="Times New Roman"/>
        <charset val="134"/>
      </rPr>
      <t xml:space="preserve">             </t>
    </r>
    <r>
      <rPr>
        <sz val="10"/>
        <rFont val="新細明體"/>
        <charset val="136"/>
      </rPr>
      <t>認可機構</t>
    </r>
    <r>
      <rPr>
        <sz val="10"/>
        <rFont val="Times New Roman"/>
        <charset val="134"/>
      </rPr>
      <t xml:space="preserve">  (</t>
    </r>
    <r>
      <rPr>
        <sz val="10"/>
        <rFont val="新細明體"/>
        <charset val="136"/>
      </rPr>
      <t>百萬港元</t>
    </r>
    <r>
      <rPr>
        <sz val="10"/>
        <rFont val="Times New Roman"/>
        <charset val="134"/>
      </rPr>
      <t xml:space="preserve">, </t>
    </r>
    <r>
      <rPr>
        <sz val="10"/>
        <rFont val="新細明體"/>
        <charset val="136"/>
      </rPr>
      <t>另有說明者除外</t>
    </r>
    <r>
      <rPr>
        <sz val="10"/>
        <rFont val="Times New Roman"/>
        <charset val="134"/>
      </rPr>
      <t>)</t>
    </r>
  </si>
  <si>
    <t>3.4.1</t>
  </si>
  <si>
    <t>2024-12</t>
  </si>
  <si>
    <t>2023-12</t>
  </si>
  <si>
    <t>2022-12</t>
  </si>
  <si>
    <t>2021-12</t>
  </si>
  <si>
    <t>Table :   Loans and advances</t>
  </si>
  <si>
    <t>貸款及墊款</t>
  </si>
  <si>
    <t>December 2024</t>
  </si>
  <si>
    <t>December 2023</t>
  </si>
  <si>
    <t>December 2022</t>
  </si>
  <si>
    <t>December 2021</t>
  </si>
  <si>
    <t>Proportion%</t>
  </si>
  <si>
    <t>YoY%</t>
  </si>
  <si>
    <t>HK$</t>
  </si>
  <si>
    <t>Foreign currency</t>
  </si>
  <si>
    <t>Total</t>
  </si>
  <si>
    <t>loans_total</t>
  </si>
  <si>
    <t>Total loan and advances</t>
  </si>
  <si>
    <t>loans_in_hk</t>
  </si>
  <si>
    <t>Loans for use in HK</t>
  </si>
  <si>
    <t>Trade finance</t>
  </si>
  <si>
    <t>貿易融資</t>
  </si>
  <si>
    <t>imp_exp_reexp_fromhk_hkd</t>
  </si>
  <si>
    <t>imp_exp_reexp_fromhk_fc</t>
  </si>
  <si>
    <t>imp_exp_reexp_fromhk_total</t>
  </si>
  <si>
    <t>To finance H.K.'s visible trade</t>
  </si>
  <si>
    <t xml:space="preserve">香港貨物的出入口及轉口融資  </t>
  </si>
  <si>
    <t>merch_trade_nonhk_hkd</t>
  </si>
  <si>
    <t>merch_trade_nonhk_fc</t>
  </si>
  <si>
    <t>merch_trade_nonhk_total</t>
  </si>
  <si>
    <t>To finance merchandising trade not touching H.K.</t>
  </si>
  <si>
    <t>香港境外的商品貿易融資</t>
  </si>
  <si>
    <t>loans_inhk_hkd</t>
  </si>
  <si>
    <t>loans_inhk_fc</t>
  </si>
  <si>
    <t>loans_inhk_total</t>
  </si>
  <si>
    <r>
      <rPr>
        <b/>
        <sz val="11"/>
        <color theme="1"/>
        <rFont val="Times New Roman"/>
        <charset val="134"/>
      </rPr>
      <t>Other loans for use in H.K</t>
    </r>
    <r>
      <rPr>
        <b/>
        <vertAlign val="superscript"/>
        <sz val="11"/>
        <color theme="1"/>
        <rFont val="Times New Roman"/>
        <charset val="134"/>
      </rPr>
      <t>(1)</t>
    </r>
  </si>
  <si>
    <t>mfg</t>
  </si>
  <si>
    <t>Manufacturing</t>
  </si>
  <si>
    <t>製造業</t>
  </si>
  <si>
    <t>mfg_textiles</t>
  </si>
  <si>
    <t>Textiles</t>
  </si>
  <si>
    <t>紡織</t>
  </si>
  <si>
    <t>mfg_footwear</t>
  </si>
  <si>
    <t>Footwear and wearing apparel</t>
  </si>
  <si>
    <t>鞋類及衣飾</t>
  </si>
  <si>
    <t>mfg_metalengr</t>
  </si>
  <si>
    <t>Metal products and engineering</t>
  </si>
  <si>
    <t>金屬製品及工程</t>
  </si>
  <si>
    <t>mfg_rubbplastchem</t>
  </si>
  <si>
    <t>Rubber, plastic and chemicals</t>
  </si>
  <si>
    <t>橡膠、塑膠及化工</t>
  </si>
  <si>
    <t>mfg_shipbuildrepair</t>
  </si>
  <si>
    <r>
      <rPr>
        <sz val="10"/>
        <rFont val="Times New Roman"/>
        <charset val="134"/>
      </rPr>
      <t xml:space="preserve">Shipbuilding and repair </t>
    </r>
    <r>
      <rPr>
        <vertAlign val="superscript"/>
        <sz val="10"/>
        <rFont val="Times New Roman"/>
        <charset val="134"/>
      </rPr>
      <t>3</t>
    </r>
  </si>
  <si>
    <r>
      <rPr>
        <sz val="10"/>
        <rFont val="Times New Roman"/>
        <charset val="134"/>
      </rPr>
      <t>造船及修理</t>
    </r>
    <r>
      <rPr>
        <vertAlign val="superscript"/>
        <sz val="10"/>
        <rFont val="Times New Roman"/>
        <charset val="134"/>
      </rPr>
      <t>3</t>
    </r>
  </si>
  <si>
    <t>mfg_ee</t>
  </si>
  <si>
    <r>
      <rPr>
        <sz val="10"/>
        <rFont val="Times New Roman"/>
        <charset val="134"/>
      </rPr>
      <t>Electrical and electronic</t>
    </r>
    <r>
      <rPr>
        <vertAlign val="superscript"/>
        <sz val="10"/>
        <rFont val="Times New Roman"/>
        <charset val="134"/>
      </rPr>
      <t>4</t>
    </r>
  </si>
  <si>
    <r>
      <rPr>
        <sz val="10"/>
        <rFont val="Times New Roman"/>
        <charset val="134"/>
      </rPr>
      <t>電器及電子</t>
    </r>
    <r>
      <rPr>
        <vertAlign val="superscript"/>
        <sz val="10"/>
        <rFont val="Times New Roman"/>
        <charset val="134"/>
      </rPr>
      <t>4</t>
    </r>
  </si>
  <si>
    <t>mfg_ee_teleequip</t>
  </si>
  <si>
    <t xml:space="preserve">     Telecommunication equipment</t>
  </si>
  <si>
    <t xml:space="preserve">    電子通訊設備</t>
  </si>
  <si>
    <t>mfg_ee_other</t>
  </si>
  <si>
    <t xml:space="preserve">     Others</t>
  </si>
  <si>
    <t xml:space="preserve">    其他</t>
  </si>
  <si>
    <t>mfg_food</t>
  </si>
  <si>
    <t>Food</t>
  </si>
  <si>
    <t>食品</t>
  </si>
  <si>
    <t>mfg_bevtob</t>
  </si>
  <si>
    <t>Beverages and tobacco</t>
  </si>
  <si>
    <t>飲料及煙草</t>
  </si>
  <si>
    <t>mfg_printpub</t>
  </si>
  <si>
    <t>Printing and publishing</t>
  </si>
  <si>
    <t>印刷及出版</t>
  </si>
  <si>
    <t>mfg_misc</t>
  </si>
  <si>
    <t>Miscellaneous</t>
  </si>
  <si>
    <t>雜類</t>
  </si>
  <si>
    <t>af</t>
  </si>
  <si>
    <t>Agriculture and fisheries</t>
  </si>
  <si>
    <t>農業及漁業</t>
  </si>
  <si>
    <t>af_fisheries</t>
  </si>
  <si>
    <t>Fisheries</t>
  </si>
  <si>
    <t>漁業</t>
  </si>
  <si>
    <t>af_livestock</t>
  </si>
  <si>
    <t>Livestock and livestock products</t>
  </si>
  <si>
    <t xml:space="preserve">禽畜及禽畜產品 </t>
  </si>
  <si>
    <t>af_veghort</t>
  </si>
  <si>
    <t>Vegetables and horticulture</t>
  </si>
  <si>
    <t>蔬菜及園藝</t>
  </si>
  <si>
    <t>tran</t>
  </si>
  <si>
    <t>Transport and transport equipment</t>
  </si>
  <si>
    <t xml:space="preserve">運輸及運輸設備 </t>
  </si>
  <si>
    <t>tran_shipping</t>
  </si>
  <si>
    <t>Shipping</t>
  </si>
  <si>
    <t>航運</t>
  </si>
  <si>
    <t>tran_airtran</t>
  </si>
  <si>
    <t>Air transport</t>
  </si>
  <si>
    <t>空運</t>
  </si>
  <si>
    <t>tran_taxisplb</t>
  </si>
  <si>
    <t>Taxis and public light buses</t>
  </si>
  <si>
    <t>的士及公共輕型巴士</t>
  </si>
  <si>
    <t>tran_taxisplb_taxis</t>
  </si>
  <si>
    <t xml:space="preserve">     Taxis</t>
  </si>
  <si>
    <t xml:space="preserve">    的士</t>
  </si>
  <si>
    <t>tran_taxisplb_plb</t>
  </si>
  <si>
    <t xml:space="preserve">     Public light buses</t>
  </si>
  <si>
    <t xml:space="preserve">    公共輕型巴士</t>
  </si>
  <si>
    <t>tran_other</t>
  </si>
  <si>
    <t>Others</t>
  </si>
  <si>
    <t>其他</t>
  </si>
  <si>
    <t>egt</t>
  </si>
  <si>
    <t>Electricity, gas and telecommunications</t>
  </si>
  <si>
    <t>電力、氣體燃料及電訊</t>
  </si>
  <si>
    <t>eg</t>
  </si>
  <si>
    <t xml:space="preserve">Electricity and gas </t>
  </si>
  <si>
    <t>電力及氣體燃料</t>
  </si>
  <si>
    <t>rec</t>
  </si>
  <si>
    <t xml:space="preserve">Recreational activities                 </t>
  </si>
  <si>
    <t>康樂活動</t>
  </si>
  <si>
    <t>it</t>
  </si>
  <si>
    <t xml:space="preserve">Information technology                  </t>
  </si>
  <si>
    <t>資訊科技</t>
  </si>
  <si>
    <t>it_telecom</t>
  </si>
  <si>
    <t xml:space="preserve">Telecommunications                   </t>
  </si>
  <si>
    <t>電子通訊</t>
  </si>
  <si>
    <t>it_other</t>
  </si>
  <si>
    <t xml:space="preserve">Others                               </t>
  </si>
  <si>
    <t>bcpi</t>
  </si>
  <si>
    <t>Building and construction, property development and investment</t>
  </si>
  <si>
    <t>建造業、物業發展及投資</t>
  </si>
  <si>
    <t>bcpi_propdev</t>
  </si>
  <si>
    <t>Property development and investment</t>
  </si>
  <si>
    <t>物業發展及投資</t>
  </si>
  <si>
    <t>bcpi_propdev_ind</t>
  </si>
  <si>
    <t xml:space="preserve">     Industrial</t>
  </si>
  <si>
    <t xml:space="preserve">    工業</t>
  </si>
  <si>
    <t>bcpi_propdev_res</t>
  </si>
  <si>
    <t xml:space="preserve">     Residential</t>
  </si>
  <si>
    <t xml:space="preserve">    住宅</t>
  </si>
  <si>
    <t>bcpi_propdev_comm</t>
  </si>
  <si>
    <t xml:space="preserve">     Commercial</t>
  </si>
  <si>
    <t xml:space="preserve">    商業</t>
  </si>
  <si>
    <t>bcpi_propdev_other</t>
  </si>
  <si>
    <t xml:space="preserve">     Other properties</t>
  </si>
  <si>
    <t xml:space="preserve">    其他物業</t>
  </si>
  <si>
    <t>bcpi_other</t>
  </si>
  <si>
    <t>wsale</t>
  </si>
  <si>
    <t>Wholesale and retail trade</t>
  </si>
  <si>
    <t>批發及零售業</t>
  </si>
  <si>
    <t>mine</t>
  </si>
  <si>
    <t>Mining and quarrying</t>
  </si>
  <si>
    <t>採礦及採石業</t>
  </si>
  <si>
    <t>misc</t>
  </si>
  <si>
    <t>其他經濟行業</t>
  </si>
  <si>
    <t>misc_hotelcater</t>
  </si>
  <si>
    <t>Hotels, boarding houses and catering</t>
  </si>
  <si>
    <t>酒店、旅舍及飲食業</t>
  </si>
  <si>
    <t>misc_fin</t>
  </si>
  <si>
    <t>Financial concerns</t>
  </si>
  <si>
    <t>與財務及金融有關公司</t>
  </si>
  <si>
    <t>misc_fin_inv</t>
  </si>
  <si>
    <t xml:space="preserve">     Investment companies</t>
  </si>
  <si>
    <t xml:space="preserve">    投資公司</t>
  </si>
  <si>
    <t>misc_fin_ins</t>
  </si>
  <si>
    <t xml:space="preserve">     Insurance companies</t>
  </si>
  <si>
    <t xml:space="preserve">    保險公司</t>
  </si>
  <si>
    <t>misc_fin_futbrok</t>
  </si>
  <si>
    <t xml:space="preserve">     Futures brokers</t>
  </si>
  <si>
    <t xml:space="preserve">    期貨買賣商</t>
  </si>
  <si>
    <t>misc_fin_finother</t>
  </si>
  <si>
    <t xml:space="preserve">     Finance companies and others</t>
  </si>
  <si>
    <t xml:space="preserve">    金融公司及其他</t>
  </si>
  <si>
    <t>misc_stockbrok</t>
  </si>
  <si>
    <t>Stockbrokers</t>
  </si>
  <si>
    <t>證券經紀</t>
  </si>
  <si>
    <t>misc_prof</t>
  </si>
  <si>
    <t>Professional and private individuals</t>
  </si>
  <si>
    <t>專業人士及個人</t>
  </si>
  <si>
    <t>misc_prof_purschflat</t>
  </si>
  <si>
    <t xml:space="preserve">             For the purchase of flats in Home Ownership</t>
  </si>
  <si>
    <t xml:space="preserve">            購買「居者有其屋計劃」、「私人機構</t>
  </si>
  <si>
    <t xml:space="preserve">                    Scheme, Private Sector Participation </t>
  </si>
  <si>
    <t xml:space="preserve">                     參建居屋計劃」及「租者置其屋計劃」</t>
  </si>
  <si>
    <t xml:space="preserve">                    Scheme &amp; Tenants Purchase Scheme</t>
  </si>
  <si>
    <t xml:space="preserve">                      單位</t>
  </si>
  <si>
    <t>misc_prof_purother</t>
  </si>
  <si>
    <t xml:space="preserve">             For the purchase of other residential properties</t>
  </si>
  <si>
    <t xml:space="preserve">            購買其他住宅樓宇</t>
  </si>
  <si>
    <t>misc_prof_ccadv</t>
  </si>
  <si>
    <t xml:space="preserve">     For credit card advances</t>
  </si>
  <si>
    <t xml:space="preserve">    信用卡墊款</t>
  </si>
  <si>
    <t>misc_prof_otherbusi</t>
  </si>
  <si>
    <t xml:space="preserve">     For other business purposes</t>
  </si>
  <si>
    <t xml:space="preserve">    其他商業用途</t>
  </si>
  <si>
    <t>misc_prof_otherpvt</t>
  </si>
  <si>
    <t xml:space="preserve">     For other private purposes</t>
  </si>
  <si>
    <t xml:space="preserve">    其他私人用途</t>
  </si>
  <si>
    <t>misc_allother</t>
  </si>
  <si>
    <t>All others</t>
  </si>
  <si>
    <t>loans_outside_hk</t>
  </si>
  <si>
    <t>Loans for use outside HK</t>
  </si>
  <si>
    <t>other_loans_outhk_hkd</t>
  </si>
  <si>
    <t>other_loans_outhk_fc</t>
  </si>
  <si>
    <t>other_loans_outhk_total</t>
  </si>
  <si>
    <t>Other loans for use outside H.K</t>
  </si>
  <si>
    <t>other_loans_unkplace_hkd</t>
  </si>
  <si>
    <t>other_loans_unkplace_fc</t>
  </si>
  <si>
    <t>other_loans_unkplace_total</t>
  </si>
  <si>
    <t>Other loans where the place of use is not known</t>
  </si>
  <si>
    <t>(1).</t>
  </si>
  <si>
    <t xml:space="preserve">Loans and advances for use in Hong Kong refer to loans that have direct impact on the level of economic activity in Hong Kong.  </t>
  </si>
  <si>
    <t>在香港使用的貸款是指對香港的經濟活動有直接影響的貸款。 這一般視乎</t>
  </si>
  <si>
    <t xml:space="preserve">This is usually determined by whether the loan is made available or disbursed in Hong Kong, and by the principal business </t>
  </si>
  <si>
    <t>該筆貸款是否由香港提供或在香港支付，以及客戶的主要業務所在地而定。</t>
  </si>
  <si>
    <t>location of the customer.</t>
  </si>
  <si>
    <t>1.Monthly Statistical Bulletin</t>
  </si>
  <si>
    <t xml:space="preserve">2. HKMA-API </t>
  </si>
  <si>
    <t>TABLE</t>
  </si>
  <si>
    <t>Data Source Name</t>
  </si>
  <si>
    <t>Data Source Link</t>
  </si>
  <si>
    <t>TABLE 1.2</t>
  </si>
  <si>
    <t>Banking statistics</t>
  </si>
  <si>
    <t>https://apidocs.hkma.gov.hk/apidata/?api=market-data-and-statistics.monthly-statistical-bulletin.financial.banking-statistics&amp;page=1</t>
  </si>
  <si>
    <t>TABLE 3.4.1</t>
  </si>
  <si>
    <t>Loans and advances by type - Authorized institutions</t>
  </si>
  <si>
    <t>https://apidocs.hkma.gov.hk/gb_chi/apidata/?api=market-data-and-statistics.monthly-statistical-bulletin.banking.loans-by-type-ais&amp;page=1</t>
  </si>
  <si>
    <t>TABLE 3.5.1</t>
  </si>
  <si>
    <t>Loans and advances for use in HONG KONG by economic sector - Authorized institutions</t>
  </si>
  <si>
    <t>https://apidocs.hkma.gov.hk/apidata/?api=market-data-and-statistics.monthly-statistical-bulletin.banking.loans-by-sector-ais</t>
  </si>
  <si>
    <t>TABLE 3.13.1</t>
  </si>
  <si>
    <t>Mainland-related lending and other non-bank exposures – Mainland-related lending</t>
  </si>
  <si>
    <t>https://apidocs.hkma.gov.hk/gb_chi/documentation/market-data-and-statistics/monthly-statistical-bulletin/banking/mr-lending/</t>
  </si>
  <si>
    <t>Others sources</t>
  </si>
  <si>
    <t>import &amp; export: C&amp;SD Web Table</t>
  </si>
  <si>
    <t>re-export: Trades-IDDS</t>
  </si>
  <si>
    <t>TID 工貿處</t>
  </si>
  <si>
    <t>TDC - Trade Development</t>
  </si>
  <si>
    <r>
      <rPr>
        <b/>
        <sz val="14"/>
        <color rgb="FF00338D"/>
        <rFont val="Noto Sans CJK SC"/>
        <charset val="134"/>
      </rPr>
      <t>香港前</t>
    </r>
    <r>
      <rPr>
        <b/>
        <sz val="14"/>
        <color rgb="FF00338D"/>
        <rFont val="Cambria"/>
        <charset val="1"/>
      </rPr>
      <t>20</t>
    </r>
    <r>
      <rPr>
        <b/>
        <sz val="14"/>
        <color rgb="FF00338D"/>
        <rFont val="Noto Sans CJK SC"/>
        <charset val="134"/>
      </rPr>
      <t>大贸易融资贷款机构（按客户垫款计，</t>
    </r>
    <r>
      <rPr>
        <b/>
        <sz val="14"/>
        <color rgb="FF00338D"/>
        <rFont val="Cambria"/>
        <charset val="1"/>
      </rPr>
      <t>2024</t>
    </r>
    <r>
      <rPr>
        <b/>
        <sz val="14"/>
        <color rgb="FF00338D"/>
        <rFont val="Noto Sans CJK SC"/>
        <charset val="134"/>
      </rPr>
      <t>年，十亿港元）</t>
    </r>
  </si>
  <si>
    <t>排名</t>
  </si>
  <si>
    <t>机构名称（英文）</t>
  </si>
  <si>
    <t>机构名称（中文）</t>
  </si>
  <si>
    <t>客户垫款（十亿港元）</t>
  </si>
  <si>
    <t>占总市场比例</t>
  </si>
  <si>
    <t>分组</t>
  </si>
  <si>
    <t>HSBC</t>
  </si>
  <si>
    <t>汇丰银行</t>
  </si>
  <si>
    <r>
      <rPr>
        <sz val="11"/>
        <color rgb="FF000000"/>
        <rFont val="Noto Sans CJK SC"/>
        <charset val="134"/>
      </rPr>
      <t>前</t>
    </r>
    <r>
      <rPr>
        <sz val="11"/>
        <color rgb="FF000000"/>
        <rFont val="Calibri"/>
        <charset val="1"/>
      </rPr>
      <t>10</t>
    </r>
    <r>
      <rPr>
        <sz val="11"/>
        <color rgb="FF000000"/>
        <rFont val="Noto Sans CJK SC"/>
        <charset val="134"/>
      </rPr>
      <t>大</t>
    </r>
  </si>
  <si>
    <t>Standard Chartered Bank</t>
  </si>
  <si>
    <t>渣打银行</t>
  </si>
  <si>
    <t>Bank of China</t>
  </si>
  <si>
    <t>中国银行</t>
  </si>
  <si>
    <t>Hang Seng Bank</t>
  </si>
  <si>
    <t>恒生银行</t>
  </si>
  <si>
    <t>DBS Bank</t>
  </si>
  <si>
    <t>星展银行</t>
  </si>
  <si>
    <t>United Overseas Bank</t>
  </si>
  <si>
    <t>大华银行</t>
  </si>
  <si>
    <t>Banco Santander, S.A.</t>
  </si>
  <si>
    <t>桑坦德银行</t>
  </si>
  <si>
    <t>Banco Bilbao Vizcaya Argentaria S.A.</t>
  </si>
  <si>
    <r>
      <rPr>
        <sz val="11"/>
        <color rgb="FF000000"/>
        <rFont val="Noto Sans CJK SC"/>
        <charset val="134"/>
      </rPr>
      <t>西班牙对外银行（</t>
    </r>
    <r>
      <rPr>
        <sz val="11"/>
        <color rgb="FF000000"/>
        <rFont val="Calibri"/>
        <charset val="1"/>
      </rPr>
      <t>BBVA</t>
    </r>
    <r>
      <rPr>
        <sz val="11"/>
        <color rgb="FF000000"/>
        <rFont val="Noto Sans CJK SC"/>
        <charset val="134"/>
      </rPr>
      <t>）</t>
    </r>
  </si>
  <si>
    <t>BNP Paribas</t>
  </si>
  <si>
    <t>法国巴黎银行</t>
  </si>
  <si>
    <t>ICBC</t>
  </si>
  <si>
    <t>中国工商银行</t>
  </si>
  <si>
    <t>Citibank</t>
  </si>
  <si>
    <t>花旗银行</t>
  </si>
  <si>
    <r>
      <rPr>
        <sz val="11"/>
        <color rgb="FF000000"/>
        <rFont val="Noto Sans CJK SC"/>
        <charset val="134"/>
      </rPr>
      <t>第</t>
    </r>
    <r>
      <rPr>
        <sz val="11"/>
        <color rgb="FF000000"/>
        <rFont val="Calibri"/>
        <charset val="1"/>
      </rPr>
      <t>11-20</t>
    </r>
    <r>
      <rPr>
        <sz val="11"/>
        <color rgb="FF000000"/>
        <rFont val="Noto Sans CJK SC"/>
        <charset val="134"/>
      </rPr>
      <t>大</t>
    </r>
  </si>
  <si>
    <t>Deutsche Bank Aktiengesellschaft</t>
  </si>
  <si>
    <t>德意志银行</t>
  </si>
  <si>
    <t>Nanyang Commercial Bank</t>
  </si>
  <si>
    <t>南洋商业银行</t>
  </si>
  <si>
    <t>Shanghai Commercial Bank</t>
  </si>
  <si>
    <t>上海商业银行</t>
  </si>
  <si>
    <t>China Citic</t>
  </si>
  <si>
    <t>中信银行</t>
  </si>
  <si>
    <t>Bank of East Asia</t>
  </si>
  <si>
    <t>东亚银行</t>
  </si>
  <si>
    <t>OCBC Bank</t>
  </si>
  <si>
    <t>华侨银行</t>
  </si>
  <si>
    <t>Bank of America National Association</t>
  </si>
  <si>
    <t>美国银行</t>
  </si>
  <si>
    <t>Dah Sing Bank</t>
  </si>
  <si>
    <t>大新银行</t>
  </si>
  <si>
    <t>Fubon</t>
  </si>
  <si>
    <t>富邦银行</t>
  </si>
  <si>
    <t>—</t>
  </si>
  <si>
    <r>
      <rPr>
        <b/>
        <sz val="11"/>
        <rFont val="Noto Sans CJK SC"/>
        <charset val="134"/>
      </rPr>
      <t>合计（前</t>
    </r>
    <r>
      <rPr>
        <b/>
        <sz val="11"/>
        <rFont val="Cambria"/>
        <charset val="1"/>
      </rPr>
      <t>20</t>
    </r>
    <r>
      <rPr>
        <b/>
        <sz val="11"/>
        <rFont val="Noto Sans CJK SC"/>
        <charset val="134"/>
      </rPr>
      <t>大</t>
    </r>
    <r>
      <rPr>
        <b/>
        <sz val="11"/>
        <rFont val="Cambria"/>
        <charset val="1"/>
      </rPr>
      <t>+</t>
    </r>
    <r>
      <rPr>
        <b/>
        <sz val="11"/>
        <rFont val="Noto Sans CJK SC"/>
        <charset val="134"/>
      </rPr>
      <t>其他）</t>
    </r>
  </si>
  <si>
    <r>
      <rPr>
        <i/>
        <sz val="9"/>
        <color rgb="FF808080"/>
        <rFont val="Noto Sans CJK SC"/>
        <charset val="134"/>
      </rPr>
      <t>注：占比按幻灯片披露的市场总额</t>
    </r>
    <r>
      <rPr>
        <i/>
        <sz val="9"/>
        <color rgb="FF808080"/>
        <rFont val="Cambria"/>
        <charset val="1"/>
      </rPr>
      <t>5,009</t>
    </r>
    <r>
      <rPr>
        <i/>
        <sz val="9"/>
        <color rgb="FF808080"/>
        <rFont val="Noto Sans CJK SC"/>
        <charset val="134"/>
      </rPr>
      <t>亿港元计算；各机构垫款数值读取自图表柱形标签。资料来源：公司财务披露报表、香港金融管理局、毕马威分析。</t>
    </r>
  </si>
  <si>
    <r>
      <rPr>
        <b/>
        <sz val="14"/>
        <color rgb="FF00338D"/>
        <rFont val="Noto Sans CJK SC"/>
        <charset val="134"/>
      </rPr>
      <t>图中文字提取：</t>
    </r>
    <r>
      <rPr>
        <b/>
        <sz val="14"/>
        <color rgb="FF00338D"/>
        <rFont val="Cambria"/>
        <charset val="1"/>
      </rPr>
      <t>Hong Kong trade finance lenders landscape</t>
    </r>
    <r>
      <rPr>
        <b/>
        <sz val="14"/>
        <color rgb="FF00338D"/>
        <rFont val="Noto Sans CJK SC"/>
        <charset val="134"/>
      </rPr>
      <t>（</t>
    </r>
    <r>
      <rPr>
        <b/>
        <sz val="14"/>
        <color rgb="FF00338D"/>
        <rFont val="Cambria"/>
        <charset val="1"/>
      </rPr>
      <t xml:space="preserve">KPMG </t>
    </r>
    <r>
      <rPr>
        <b/>
        <sz val="14"/>
        <color rgb="FF00338D"/>
        <rFont val="Noto Sans CJK SC"/>
        <charset val="134"/>
      </rPr>
      <t>幻灯片，第</t>
    </r>
    <r>
      <rPr>
        <b/>
        <sz val="14"/>
        <color rgb="FF00338D"/>
        <rFont val="Cambria"/>
        <charset val="1"/>
      </rPr>
      <t>22</t>
    </r>
    <r>
      <rPr>
        <b/>
        <sz val="14"/>
        <color rgb="FF00338D"/>
        <rFont val="Noto Sans CJK SC"/>
        <charset val="134"/>
      </rPr>
      <t>页）</t>
    </r>
  </si>
  <si>
    <t>项目</t>
  </si>
  <si>
    <t>英文原文</t>
  </si>
  <si>
    <t>中文翻译</t>
  </si>
  <si>
    <r>
      <rPr>
        <sz val="10"/>
        <rFont val="Noto Sans CJK SC"/>
        <charset val="134"/>
      </rPr>
      <t xml:space="preserve">标题 </t>
    </r>
    <r>
      <rPr>
        <sz val="10"/>
        <rFont val="Cambria"/>
        <charset val="1"/>
      </rPr>
      <t>Title</t>
    </r>
  </si>
  <si>
    <t>Hong Kong trade finance lenders landscape</t>
  </si>
  <si>
    <t>香港贸易融资贷款机构格局</t>
  </si>
  <si>
    <r>
      <rPr>
        <sz val="10"/>
        <rFont val="Noto Sans CJK SC"/>
        <charset val="134"/>
      </rPr>
      <t xml:space="preserve">概要 </t>
    </r>
    <r>
      <rPr>
        <sz val="10"/>
        <rFont val="Cambria"/>
        <charset val="1"/>
      </rPr>
      <t>Summary</t>
    </r>
  </si>
  <si>
    <t>In 2024, 77 authorised institutions and local representative offices in Hong Kong provided trade financing of HKD 500.9 billion in advances, marking an 11.5% CAGR decline from 2021. Total loans and advances fell by 16.0% CAGR over the same period. The top 20 lenders accounted for approximately 90% of the market.</t>
  </si>
  <si>
    <r>
      <rPr>
        <sz val="10"/>
        <rFont val="Cambria"/>
        <charset val="1"/>
      </rPr>
      <t>2024</t>
    </r>
    <r>
      <rPr>
        <sz val="10"/>
        <rFont val="Noto Sans CJK SC"/>
        <charset val="134"/>
      </rPr>
      <t>年，香港</t>
    </r>
    <r>
      <rPr>
        <sz val="10"/>
        <rFont val="Cambria"/>
        <charset val="1"/>
      </rPr>
      <t>77</t>
    </r>
    <r>
      <rPr>
        <sz val="10"/>
        <rFont val="Noto Sans CJK SC"/>
        <charset val="134"/>
      </rPr>
      <t>家认可机构及本地代表处提供的贸易融资垫款为</t>
    </r>
    <r>
      <rPr>
        <sz val="10"/>
        <rFont val="Cambria"/>
        <charset val="1"/>
      </rPr>
      <t>5,009</t>
    </r>
    <r>
      <rPr>
        <sz val="10"/>
        <rFont val="Noto Sans CJK SC"/>
        <charset val="134"/>
      </rPr>
      <t>亿港元，较</t>
    </r>
    <r>
      <rPr>
        <sz val="10"/>
        <rFont val="Cambria"/>
        <charset val="1"/>
      </rPr>
      <t>2021</t>
    </r>
    <r>
      <rPr>
        <sz val="10"/>
        <rFont val="Noto Sans CJK SC"/>
        <charset val="134"/>
      </rPr>
      <t>年的年均复合增长率（</t>
    </r>
    <r>
      <rPr>
        <sz val="10"/>
        <rFont val="Cambria"/>
        <charset val="1"/>
      </rPr>
      <t>CAGR</t>
    </r>
    <r>
      <rPr>
        <sz val="10"/>
        <rFont val="Noto Sans CJK SC"/>
        <charset val="134"/>
      </rPr>
      <t>）下降</t>
    </r>
    <r>
      <rPr>
        <sz val="10"/>
        <rFont val="Cambria"/>
        <charset val="1"/>
      </rPr>
      <t>11.5%</t>
    </r>
    <r>
      <rPr>
        <sz val="10"/>
        <rFont val="Noto Sans CJK SC"/>
        <charset val="134"/>
      </rPr>
      <t>。同期贷款及垫款总额的年均复合增长率下降</t>
    </r>
    <r>
      <rPr>
        <sz val="10"/>
        <rFont val="Cambria"/>
        <charset val="1"/>
      </rPr>
      <t>16.0%</t>
    </r>
    <r>
      <rPr>
        <sz val="10"/>
        <rFont val="Noto Sans CJK SC"/>
        <charset val="134"/>
      </rPr>
      <t>。前</t>
    </r>
    <r>
      <rPr>
        <sz val="10"/>
        <rFont val="Cambria"/>
        <charset val="1"/>
      </rPr>
      <t>20</t>
    </r>
    <r>
      <rPr>
        <sz val="10"/>
        <rFont val="Noto Sans CJK SC"/>
        <charset val="134"/>
      </rPr>
      <t>大贷款机构约占市场的</t>
    </r>
    <r>
      <rPr>
        <sz val="10"/>
        <rFont val="Cambria"/>
        <charset val="1"/>
      </rPr>
      <t>90%</t>
    </r>
    <r>
      <rPr>
        <sz val="10"/>
        <rFont val="Noto Sans CJK SC"/>
        <charset val="134"/>
      </rPr>
      <t>。</t>
    </r>
  </si>
  <si>
    <r>
      <rPr>
        <sz val="10"/>
        <rFont val="Noto Sans CJK SC"/>
        <charset val="134"/>
      </rPr>
      <t xml:space="preserve">图表标题 </t>
    </r>
    <r>
      <rPr>
        <sz val="10"/>
        <rFont val="Cambria"/>
        <charset val="1"/>
      </rPr>
      <t>Chart title</t>
    </r>
  </si>
  <si>
    <t>Hong Kong top 20 trade finance lenders by advances to customers(1)  |  HKD b, 2024</t>
  </si>
  <si>
    <r>
      <rPr>
        <sz val="10"/>
        <rFont val="Noto Sans CJK SC"/>
        <charset val="134"/>
      </rPr>
      <t>香港前</t>
    </r>
    <r>
      <rPr>
        <sz val="10"/>
        <rFont val="Cambria"/>
        <charset val="1"/>
      </rPr>
      <t>20</t>
    </r>
    <r>
      <rPr>
        <sz val="10"/>
        <rFont val="Noto Sans CJK SC"/>
        <charset val="134"/>
      </rPr>
      <t>大贸易融资贷款机构（按客户垫款计）</t>
    </r>
    <r>
      <rPr>
        <sz val="10"/>
        <rFont val="Cambria"/>
        <charset val="1"/>
      </rPr>
      <t xml:space="preserve">(1) </t>
    </r>
    <r>
      <rPr>
        <sz val="10"/>
        <rFont val="Noto Sans CJK SC"/>
        <charset val="134"/>
      </rPr>
      <t>｜ 十亿港元，</t>
    </r>
    <r>
      <rPr>
        <sz val="10"/>
        <rFont val="Cambria"/>
        <charset val="1"/>
      </rPr>
      <t>2024</t>
    </r>
    <r>
      <rPr>
        <sz val="10"/>
        <rFont val="Noto Sans CJK SC"/>
        <charset val="134"/>
      </rPr>
      <t>年</t>
    </r>
  </si>
  <si>
    <r>
      <rPr>
        <sz val="10"/>
        <rFont val="Noto Sans CJK SC"/>
        <charset val="134"/>
      </rPr>
      <t xml:space="preserve">分组标注 </t>
    </r>
    <r>
      <rPr>
        <sz val="10"/>
        <rFont val="Cambria"/>
        <charset val="1"/>
      </rPr>
      <t>Grouping</t>
    </r>
  </si>
  <si>
    <t>Top 10 account for 76% of total market; Top 11-20 account for 14% of total market</t>
  </si>
  <si>
    <r>
      <rPr>
        <sz val="10"/>
        <rFont val="Noto Sans CJK SC"/>
        <charset val="134"/>
      </rPr>
      <t>前</t>
    </r>
    <r>
      <rPr>
        <sz val="10"/>
        <rFont val="Cambria"/>
        <charset val="1"/>
      </rPr>
      <t>10</t>
    </r>
    <r>
      <rPr>
        <sz val="10"/>
        <rFont val="Noto Sans CJK SC"/>
        <charset val="134"/>
      </rPr>
      <t>大占总市场的</t>
    </r>
    <r>
      <rPr>
        <sz val="10"/>
        <rFont val="Cambria"/>
        <charset val="1"/>
      </rPr>
      <t>76%</t>
    </r>
    <r>
      <rPr>
        <sz val="10"/>
        <rFont val="Noto Sans CJK SC"/>
        <charset val="134"/>
      </rPr>
      <t>；第</t>
    </r>
    <r>
      <rPr>
        <sz val="10"/>
        <rFont val="Cambria"/>
        <charset val="1"/>
      </rPr>
      <t>11</t>
    </r>
    <r>
      <rPr>
        <sz val="10"/>
        <rFont val="Noto Sans CJK SC"/>
        <charset val="134"/>
      </rPr>
      <t>至</t>
    </r>
    <r>
      <rPr>
        <sz val="10"/>
        <rFont val="Cambria"/>
        <charset val="1"/>
      </rPr>
      <t>20</t>
    </r>
    <r>
      <rPr>
        <sz val="10"/>
        <rFont val="Noto Sans CJK SC"/>
        <charset val="134"/>
      </rPr>
      <t>大占总市场的</t>
    </r>
    <r>
      <rPr>
        <sz val="10"/>
        <rFont val="Cambria"/>
        <charset val="1"/>
      </rPr>
      <t>14%</t>
    </r>
  </si>
  <si>
    <r>
      <rPr>
        <sz val="10"/>
        <rFont val="Noto Sans CJK SC"/>
        <charset val="134"/>
      </rPr>
      <t xml:space="preserve">注释 </t>
    </r>
    <r>
      <rPr>
        <sz val="10"/>
        <rFont val="Cambria"/>
        <charset val="1"/>
      </rPr>
      <t>Note (1)</t>
    </r>
  </si>
  <si>
    <t>Trade finance shown above represents loans covering finance of imports to Hong Kong, exports and re-exports from Hong Kong and merchandising trade classified with reference to the relevant guidelines issued by the HKMA. Authorised institutions and local representative offices have been aggregated by parent group, for example, DBS Bank (Hong Kong) Limited and DBS Bank Ltd. are referred to as DBS Bank.</t>
  </si>
  <si>
    <r>
      <rPr>
        <sz val="10"/>
        <rFont val="Noto Sans CJK SC"/>
        <charset val="134"/>
      </rPr>
      <t>上图所示贸易融资指为香港进口、香港出口及转口以及商品贸易提供融资的贷款，分类参照香港金融管理局（</t>
    </r>
    <r>
      <rPr>
        <sz val="10"/>
        <rFont val="Cambria"/>
        <charset val="1"/>
      </rPr>
      <t>HKMA</t>
    </r>
    <r>
      <rPr>
        <sz val="10"/>
        <rFont val="Noto Sans CJK SC"/>
        <charset val="134"/>
      </rPr>
      <t>）发布的相关指引。认可机构及本地代表处已按母集团合并计算，例如星展银行（香港）有限公司与星展银行有限公司合并列示为星展银行。</t>
    </r>
  </si>
  <si>
    <r>
      <rPr>
        <sz val="10"/>
        <rFont val="Noto Sans CJK SC"/>
        <charset val="134"/>
      </rPr>
      <t xml:space="preserve">资料来源 </t>
    </r>
    <r>
      <rPr>
        <sz val="10"/>
        <rFont val="Cambria"/>
        <charset val="1"/>
      </rPr>
      <t>Source</t>
    </r>
  </si>
  <si>
    <t>Company financial disclosure statements, HKMA, KPMG analysis</t>
  </si>
  <si>
    <t>公司财务披露报表、香港金融管理局、毕马威分析</t>
  </si>
  <si>
    <r>
      <rPr>
        <sz val="10"/>
        <rFont val="Noto Sans CJK SC"/>
        <charset val="134"/>
      </rPr>
      <t xml:space="preserve">页脚 </t>
    </r>
    <r>
      <rPr>
        <sz val="10"/>
        <rFont val="Cambria"/>
        <charset val="1"/>
      </rPr>
      <t>Footer</t>
    </r>
  </si>
  <si>
    <t>© 2025 KPMG Advisory (Hong Kong) Limited, a Hong Kong (SAR) limited liability company and a member firm of the KPMG global organisation of independent member firms affiliated with KPMG International Limited, a private English company limited by guarantee. All rights reserved. Document Classification: KPMG Confidential | Page 22</t>
  </si>
  <si>
    <r>
      <rPr>
        <sz val="10"/>
        <rFont val="Cambria"/>
        <charset val="1"/>
      </rPr>
      <t xml:space="preserve">© 2025 </t>
    </r>
    <r>
      <rPr>
        <sz val="10"/>
        <rFont val="Noto Sans CJK SC"/>
        <charset val="134"/>
      </rPr>
      <t>毕马威咨询（香港）有限公司——香港特别行政区有限责任公司，是与毕马威国际有限公司（英国私营担保有限公司）相关联的独立成员所全球性组织中的成员。版权所有。文件密级：毕马威机密｜第</t>
    </r>
    <r>
      <rPr>
        <sz val="10"/>
        <rFont val="Cambria"/>
        <charset val="1"/>
      </rPr>
      <t>22</t>
    </r>
    <r>
      <rPr>
        <sz val="10"/>
        <rFont val="Noto Sans CJK SC"/>
        <charset val="134"/>
      </rPr>
      <t>页</t>
    </r>
  </si>
  <si>
    <t>end_of_month</t>
  </si>
  <si>
    <t>no_of_ais</t>
  </si>
  <si>
    <t>total_assets</t>
  </si>
  <si>
    <t>total_ext_claims</t>
  </si>
  <si>
    <t>total_ext_liab</t>
  </si>
  <si>
    <t>cust_deposites_hkd</t>
  </si>
  <si>
    <t>cust_deposits_fc</t>
  </si>
  <si>
    <t>cust_deposits_total</t>
  </si>
  <si>
    <t>loans_resid_mort_lending</t>
  </si>
  <si>
    <t>classif_loans</t>
  </si>
  <si>
    <t>deli_ratio_resid_mort_lend</t>
  </si>
  <si>
    <t>chroff_ratio_of_crcard_rece</t>
  </si>
  <si>
    <t>HK$Million</t>
  </si>
  <si>
    <t>Loans for use in H.K</t>
  </si>
  <si>
    <t>Loans for use outside H.K.</t>
  </si>
  <si>
    <t>Total loans and advances</t>
  </si>
  <si>
    <t>2026-08</t>
  </si>
  <si>
    <t>2026-06</t>
  </si>
  <si>
    <t>2026-05</t>
  </si>
  <si>
    <t>2026-04</t>
  </si>
  <si>
    <t>2026-03</t>
  </si>
  <si>
    <t>2026-02</t>
  </si>
  <si>
    <t>2026-01</t>
  </si>
  <si>
    <t>2025-12</t>
  </si>
  <si>
    <t>2025-11</t>
  </si>
  <si>
    <t>2025-10</t>
  </si>
  <si>
    <t>2025-09</t>
  </si>
  <si>
    <t>2025-08</t>
  </si>
  <si>
    <t>2025-07</t>
  </si>
  <si>
    <t>2025-06</t>
  </si>
  <si>
    <t>2025-00</t>
  </si>
  <si>
    <t>total_loans_hkd</t>
  </si>
  <si>
    <t>total_loans_fc</t>
  </si>
  <si>
    <t>total_loans</t>
  </si>
  <si>
    <t>Other loans for use outside H.K.</t>
  </si>
  <si>
    <t>2025-05</t>
  </si>
  <si>
    <t>2025-04</t>
  </si>
  <si>
    <t>2025-03</t>
  </si>
  <si>
    <t>2025-02</t>
  </si>
  <si>
    <t>2025-01</t>
  </si>
  <si>
    <t>2024-11</t>
  </si>
  <si>
    <t>2024-10</t>
  </si>
  <si>
    <t>2024-09</t>
  </si>
  <si>
    <t>2024-08</t>
  </si>
  <si>
    <t>2024-07</t>
  </si>
  <si>
    <t>2024-06</t>
  </si>
  <si>
    <t>2024-05</t>
  </si>
  <si>
    <t>2024-04</t>
  </si>
  <si>
    <t>2024-03</t>
  </si>
  <si>
    <t>2024-02</t>
  </si>
  <si>
    <t>2024-01</t>
  </si>
  <si>
    <t>2023-11</t>
  </si>
  <si>
    <t>2023-10</t>
  </si>
  <si>
    <t>2023-09</t>
  </si>
  <si>
    <t>2023-08</t>
  </si>
  <si>
    <t>2023-07</t>
  </si>
  <si>
    <t>2023-06</t>
  </si>
  <si>
    <t>2023-05</t>
  </si>
  <si>
    <t>2023-04</t>
  </si>
  <si>
    <t>2023-03</t>
  </si>
  <si>
    <t>2023-02</t>
  </si>
  <si>
    <t>2023-01</t>
  </si>
  <si>
    <t>2022-11</t>
  </si>
  <si>
    <t>2022-10</t>
  </si>
  <si>
    <t>2022-09</t>
  </si>
  <si>
    <t>2022-08</t>
  </si>
  <si>
    <t>2022-07</t>
  </si>
  <si>
    <t>2022-06</t>
  </si>
  <si>
    <t>2022-05</t>
  </si>
  <si>
    <t>2022-04</t>
  </si>
  <si>
    <t>2022-03</t>
  </si>
  <si>
    <t>2022-02</t>
  </si>
  <si>
    <t>2022-01</t>
  </si>
  <si>
    <t>2021-11</t>
  </si>
  <si>
    <t>2021-10</t>
  </si>
  <si>
    <t>2021-09</t>
  </si>
  <si>
    <t>2021-08</t>
  </si>
  <si>
    <t>2021-07</t>
  </si>
  <si>
    <t>2021-06</t>
  </si>
  <si>
    <t>2021-05</t>
  </si>
  <si>
    <t>2021-04</t>
  </si>
  <si>
    <t>2021-03</t>
  </si>
  <si>
    <t>2021-02</t>
  </si>
  <si>
    <t>2021-01</t>
  </si>
  <si>
    <t>2020-12</t>
  </si>
  <si>
    <t>2020-11</t>
  </si>
  <si>
    <t>2020-10</t>
  </si>
  <si>
    <t>2020-09</t>
  </si>
  <si>
    <t>2020-08</t>
  </si>
  <si>
    <t>2020-07</t>
  </si>
  <si>
    <t>2020-06</t>
  </si>
  <si>
    <t>2020-05</t>
  </si>
  <si>
    <t>2020-04</t>
  </si>
  <si>
    <t>2020-03</t>
  </si>
  <si>
    <t>2020-02</t>
  </si>
  <si>
    <t>2020-01</t>
  </si>
  <si>
    <t>2019-12</t>
  </si>
  <si>
    <t>2019-11</t>
  </si>
  <si>
    <t>2019-10</t>
  </si>
  <si>
    <t>2019-09</t>
  </si>
  <si>
    <t>2019-08</t>
  </si>
  <si>
    <t>2019-07</t>
  </si>
  <si>
    <t>2019-06</t>
  </si>
  <si>
    <t>2019-05</t>
  </si>
  <si>
    <t>2019-04</t>
  </si>
  <si>
    <t>2019-03</t>
  </si>
  <si>
    <t>2019-02</t>
  </si>
  <si>
    <t>2019-01</t>
  </si>
  <si>
    <t>2018-12</t>
  </si>
  <si>
    <t>mfg_chg</t>
  </si>
  <si>
    <t>mfg_textiles_chg</t>
  </si>
  <si>
    <t>mfg_footwear_chg</t>
  </si>
  <si>
    <t>mfg_metalengr_chg</t>
  </si>
  <si>
    <t>mfg_rubbplastchem_chg</t>
  </si>
  <si>
    <t>mfg_shipbuildrepair_chg</t>
  </si>
  <si>
    <t>mfg_ee_chg</t>
  </si>
  <si>
    <t>mfg_ee_teleequip_chg</t>
  </si>
  <si>
    <t>mfg_ee_other_chg</t>
  </si>
  <si>
    <t>mfg_food_chg</t>
  </si>
  <si>
    <t>mfg_bevtob_chg</t>
  </si>
  <si>
    <t>mfg_printpub_chg</t>
  </si>
  <si>
    <t>mfg_misc_chg</t>
  </si>
  <si>
    <t>af_chg</t>
  </si>
  <si>
    <t>af_fisheries_chg</t>
  </si>
  <si>
    <t>af_livestock_chg</t>
  </si>
  <si>
    <t>af_veghort_chg</t>
  </si>
  <si>
    <t>tran_chg</t>
  </si>
  <si>
    <t>tran_shipping_chg</t>
  </si>
  <si>
    <t>tran_airtran_chg</t>
  </si>
  <si>
    <t>tran_taxisplb_chg</t>
  </si>
  <si>
    <t>tran_taxisplb_taxis_chg</t>
  </si>
  <si>
    <t>tran_taxisplb_plb_chg</t>
  </si>
  <si>
    <t>tran_other_chg</t>
  </si>
  <si>
    <t>egt_chg</t>
  </si>
  <si>
    <t>eg_chg</t>
  </si>
  <si>
    <t>rec_chg</t>
  </si>
  <si>
    <t>it_chg</t>
  </si>
  <si>
    <t>it_telecom_chg</t>
  </si>
  <si>
    <t>it_other_chg</t>
  </si>
  <si>
    <t>bcpi_chg</t>
  </si>
  <si>
    <t>bcpi_propdev_chg</t>
  </si>
  <si>
    <t>bcpi_propdev_ind_chg</t>
  </si>
  <si>
    <t>bcpi_propdev_res_chg</t>
  </si>
  <si>
    <t>bcpi_propdev_comm_chg</t>
  </si>
  <si>
    <t>bcpi_propdev_other_chg</t>
  </si>
  <si>
    <t>bcpi_other_chg</t>
  </si>
  <si>
    <t>wsale_chg</t>
  </si>
  <si>
    <t>mine_chg</t>
  </si>
  <si>
    <t>misc_chg</t>
  </si>
  <si>
    <t>misc_hotelcater_chg</t>
  </si>
  <si>
    <t>misc_fin_chg</t>
  </si>
  <si>
    <t>misc_fin_inv_chg</t>
  </si>
  <si>
    <t>misc_fin_ins_chg</t>
  </si>
  <si>
    <t>misc_fin_futbrok_chg</t>
  </si>
  <si>
    <t>misc_fin_finother_chg</t>
  </si>
  <si>
    <t>misc_stockbrok_chg</t>
  </si>
  <si>
    <t>misc_prof_chg</t>
  </si>
  <si>
    <t>misc_prof_purschflat_chg</t>
  </si>
  <si>
    <t>misc_prof_purother_chg</t>
  </si>
  <si>
    <t>misc_prof_ccadv_chg</t>
  </si>
  <si>
    <t>misc_prof_otherbusi_chg</t>
  </si>
  <si>
    <t>misc_prof_otherpvt_chg</t>
  </si>
  <si>
    <t>misc_allother_chg</t>
  </si>
  <si>
    <t>loan_inhk</t>
  </si>
  <si>
    <t>loan_inhk_chg</t>
  </si>
  <si>
    <t>贷款是按用途分类，但不包括贸易融资贷款。</t>
  </si>
  <si>
    <t>Manugacturing</t>
  </si>
  <si>
    <t>Telecommunication equipment</t>
  </si>
  <si>
    <r>
      <rPr>
        <sz val="10"/>
        <rFont val="Times New Roman"/>
        <charset val="134"/>
      </rPr>
      <t xml:space="preserve">    </t>
    </r>
    <r>
      <rPr>
        <sz val="10"/>
        <rFont val="新細明體"/>
        <charset val="136"/>
      </rPr>
      <t>電子通訊設備</t>
    </r>
  </si>
  <si>
    <r>
      <rPr>
        <sz val="10"/>
        <rFont val="Times New Roman"/>
        <charset val="134"/>
      </rPr>
      <t xml:space="preserve">    </t>
    </r>
    <r>
      <rPr>
        <sz val="10"/>
        <rFont val="新細明體"/>
        <charset val="136"/>
      </rPr>
      <t>其他</t>
    </r>
  </si>
  <si>
    <t>food</t>
  </si>
  <si>
    <r>
      <rPr>
        <b/>
        <sz val="10"/>
        <rFont val="Times New Roman"/>
        <charset val="134"/>
      </rPr>
      <t>Agriculture and fisheries</t>
    </r>
    <r>
      <rPr>
        <b/>
        <vertAlign val="superscript"/>
        <sz val="10"/>
        <rFont val="Times New Roman"/>
        <charset val="134"/>
      </rPr>
      <t>5,6</t>
    </r>
  </si>
  <si>
    <r>
      <rPr>
        <b/>
        <sz val="10"/>
        <rFont val="新細明體"/>
        <charset val="136"/>
      </rPr>
      <t>農業及漁業</t>
    </r>
    <r>
      <rPr>
        <b/>
        <vertAlign val="superscript"/>
        <sz val="10"/>
        <rFont val="新細明體"/>
        <charset val="136"/>
      </rPr>
      <t>5,6</t>
    </r>
  </si>
  <si>
    <r>
      <rPr>
        <sz val="10"/>
        <rFont val="新細明體"/>
        <charset val="136"/>
      </rPr>
      <t>禽畜及禽畜產品</t>
    </r>
    <r>
      <rPr>
        <sz val="10"/>
        <rFont val="Times New Roman"/>
        <charset val="134"/>
      </rPr>
      <t xml:space="preserve"> </t>
    </r>
  </si>
  <si>
    <r>
      <rPr>
        <b/>
        <sz val="10"/>
        <rFont val="新細明體"/>
        <charset val="136"/>
      </rPr>
      <t>運輸及運輸設備</t>
    </r>
    <r>
      <rPr>
        <b/>
        <sz val="10"/>
        <rFont val="Times New Roman"/>
        <charset val="134"/>
      </rPr>
      <t xml:space="preserve"> </t>
    </r>
  </si>
  <si>
    <r>
      <rPr>
        <sz val="10"/>
        <rFont val="Times New Roman"/>
        <charset val="134"/>
      </rPr>
      <t xml:space="preserve">    </t>
    </r>
    <r>
      <rPr>
        <sz val="10"/>
        <rFont val="新細明體"/>
        <charset val="136"/>
      </rPr>
      <t>的士</t>
    </r>
  </si>
  <si>
    <r>
      <rPr>
        <sz val="10"/>
        <rFont val="Times New Roman"/>
        <charset val="134"/>
      </rPr>
      <t xml:space="preserve">    </t>
    </r>
    <r>
      <rPr>
        <sz val="10"/>
        <rFont val="新細明體"/>
        <charset val="136"/>
      </rPr>
      <t>公共輕型巴士</t>
    </r>
  </si>
  <si>
    <r>
      <rPr>
        <b/>
        <sz val="10"/>
        <rFont val="Times New Roman"/>
        <charset val="134"/>
      </rPr>
      <t>Electricity, gas and telecommunications</t>
    </r>
    <r>
      <rPr>
        <b/>
        <vertAlign val="superscript"/>
        <sz val="10"/>
        <rFont val="Times New Roman"/>
        <charset val="134"/>
      </rPr>
      <t>7</t>
    </r>
  </si>
  <si>
    <r>
      <rPr>
        <b/>
        <sz val="10"/>
        <rFont val="新細明體"/>
        <charset val="136"/>
      </rPr>
      <t>電力、氣體燃料及電訊</t>
    </r>
    <r>
      <rPr>
        <b/>
        <vertAlign val="superscript"/>
        <sz val="10"/>
        <rFont val="新細明體"/>
        <charset val="136"/>
      </rPr>
      <t>7</t>
    </r>
  </si>
  <si>
    <t>Building and construction, property development investment</t>
  </si>
  <si>
    <t>建築業、物業發展與投資</t>
  </si>
  <si>
    <r>
      <rPr>
        <sz val="10"/>
        <rFont val="Times New Roman"/>
        <charset val="134"/>
      </rPr>
      <t xml:space="preserve">    </t>
    </r>
    <r>
      <rPr>
        <sz val="10"/>
        <rFont val="新細明體"/>
        <charset val="136"/>
      </rPr>
      <t>工業</t>
    </r>
  </si>
  <si>
    <r>
      <rPr>
        <sz val="10"/>
        <rFont val="Times New Roman"/>
        <charset val="134"/>
      </rPr>
      <t xml:space="preserve">    </t>
    </r>
    <r>
      <rPr>
        <sz val="10"/>
        <rFont val="新細明體"/>
        <charset val="136"/>
      </rPr>
      <t>住宅</t>
    </r>
  </si>
  <si>
    <r>
      <rPr>
        <sz val="10"/>
        <rFont val="Times New Roman"/>
        <charset val="134"/>
      </rPr>
      <t xml:space="preserve">    </t>
    </r>
    <r>
      <rPr>
        <sz val="10"/>
        <rFont val="新細明體"/>
        <charset val="136"/>
      </rPr>
      <t>商業</t>
    </r>
  </si>
  <si>
    <r>
      <rPr>
        <sz val="10"/>
        <rFont val="Times New Roman"/>
        <charset val="134"/>
      </rPr>
      <t xml:space="preserve">    </t>
    </r>
    <r>
      <rPr>
        <sz val="10"/>
        <rFont val="新細明體"/>
        <charset val="136"/>
      </rPr>
      <t>其他物業</t>
    </r>
  </si>
  <si>
    <r>
      <rPr>
        <b/>
        <sz val="10"/>
        <rFont val="Times New Roman"/>
        <charset val="134"/>
      </rPr>
      <t>Mining and quarrying</t>
    </r>
    <r>
      <rPr>
        <b/>
        <vertAlign val="superscript"/>
        <sz val="10"/>
        <rFont val="Times New Roman"/>
        <charset val="134"/>
      </rPr>
      <t>6</t>
    </r>
  </si>
  <si>
    <r>
      <rPr>
        <b/>
        <sz val="10"/>
        <rFont val="新細明體"/>
        <charset val="136"/>
      </rPr>
      <t>採礦及採石業</t>
    </r>
    <r>
      <rPr>
        <b/>
        <vertAlign val="superscript"/>
        <sz val="10"/>
        <rFont val="Times New Roman"/>
        <charset val="134"/>
      </rPr>
      <t>6</t>
    </r>
  </si>
  <si>
    <r>
      <rPr>
        <sz val="10"/>
        <rFont val="Times New Roman"/>
        <charset val="134"/>
      </rPr>
      <t xml:space="preserve">    </t>
    </r>
    <r>
      <rPr>
        <sz val="10"/>
        <rFont val="新細明體"/>
        <charset val="136"/>
      </rPr>
      <t>投資公司</t>
    </r>
  </si>
  <si>
    <r>
      <rPr>
        <sz val="10"/>
        <rFont val="Times New Roman"/>
        <charset val="134"/>
      </rPr>
      <t xml:space="preserve">    </t>
    </r>
    <r>
      <rPr>
        <sz val="10"/>
        <rFont val="新細明體"/>
        <charset val="136"/>
      </rPr>
      <t>保險公司</t>
    </r>
  </si>
  <si>
    <r>
      <rPr>
        <sz val="10"/>
        <rFont val="Times New Roman"/>
        <charset val="134"/>
      </rPr>
      <t xml:space="preserve">    </t>
    </r>
    <r>
      <rPr>
        <sz val="10"/>
        <rFont val="新細明體"/>
        <charset val="136"/>
      </rPr>
      <t>期貨買賣商</t>
    </r>
  </si>
  <si>
    <r>
      <rPr>
        <sz val="10"/>
        <rFont val="Times New Roman"/>
        <charset val="134"/>
      </rPr>
      <t xml:space="preserve">    </t>
    </r>
    <r>
      <rPr>
        <sz val="10"/>
        <rFont val="新細明體"/>
        <charset val="136"/>
      </rPr>
      <t>金融公司及其他</t>
    </r>
  </si>
  <si>
    <t>for the purchase of flats</t>
  </si>
  <si>
    <t>購買居屋</t>
  </si>
  <si>
    <t>for the purchase of other properties</t>
  </si>
  <si>
    <r>
      <rPr>
        <sz val="10"/>
        <rFont val="Times New Roman"/>
        <charset val="134"/>
      </rPr>
      <t xml:space="preserve">    </t>
    </r>
    <r>
      <rPr>
        <sz val="10"/>
        <rFont val="新細明體"/>
        <charset val="136"/>
      </rPr>
      <t>購買其他住宅樓宇</t>
    </r>
  </si>
  <si>
    <r>
      <rPr>
        <sz val="10"/>
        <rFont val="Times New Roman"/>
        <charset val="134"/>
      </rPr>
      <t xml:space="preserve">    </t>
    </r>
    <r>
      <rPr>
        <sz val="10"/>
        <rFont val="新細明體"/>
        <charset val="136"/>
      </rPr>
      <t>信用卡墊款</t>
    </r>
  </si>
  <si>
    <r>
      <rPr>
        <sz val="10"/>
        <rFont val="Times New Roman"/>
        <charset val="134"/>
      </rPr>
      <t xml:space="preserve">    </t>
    </r>
    <r>
      <rPr>
        <sz val="10"/>
        <rFont val="新細明體"/>
        <charset val="136"/>
      </rPr>
      <t>其他商業用途</t>
    </r>
  </si>
  <si>
    <r>
      <rPr>
        <sz val="10"/>
        <rFont val="Times New Roman"/>
        <charset val="134"/>
      </rPr>
      <t xml:space="preserve">    </t>
    </r>
    <r>
      <rPr>
        <sz val="10"/>
        <rFont val="新細明體"/>
        <charset val="136"/>
      </rPr>
      <t>其他私人用途</t>
    </r>
  </si>
  <si>
    <t>Loans and advances for use in Hong Kong</t>
  </si>
  <si>
    <t>在香港使用的貸款及墊款</t>
  </si>
  <si>
    <t>与上季度比对的增减百分比</t>
  </si>
  <si>
    <r>
      <rPr>
        <sz val="10"/>
        <rFont val="新細明體"/>
        <charset val="136"/>
      </rPr>
      <t>造船及修理</t>
    </r>
    <r>
      <rPr>
        <vertAlign val="superscript"/>
        <sz val="10"/>
        <rFont val="Times New Roman"/>
        <charset val="134"/>
      </rPr>
      <t>3</t>
    </r>
  </si>
  <si>
    <r>
      <rPr>
        <sz val="10"/>
        <rFont val="新細明體"/>
        <charset val="136"/>
      </rPr>
      <t>電器及電子</t>
    </r>
    <r>
      <rPr>
        <vertAlign val="superscript"/>
        <sz val="10"/>
        <rFont val="新細明體"/>
        <charset val="136"/>
      </rPr>
      <t>4</t>
    </r>
  </si>
  <si>
    <t>loans_excl_trade_finance</t>
  </si>
  <si>
    <t>trade_finance</t>
  </si>
  <si>
    <t>lending_total</t>
  </si>
  <si>
    <r>
      <rPr>
        <b/>
        <sz val="10"/>
        <rFont val="Arial"/>
        <charset val="134"/>
      </rPr>
      <t>Domestic loans by economic sectors</t>
    </r>
    <r>
      <rPr>
        <b/>
        <vertAlign val="superscript"/>
        <sz val="10"/>
        <rFont val="Arial"/>
        <charset val="134"/>
      </rPr>
      <t>1, 2</t>
    </r>
  </si>
  <si>
    <t xml:space="preserve">     To purchase other residential properties</t>
  </si>
  <si>
    <t>Property lending*</t>
  </si>
  <si>
    <r>
      <rPr>
        <sz val="10"/>
        <rFont val="Arial"/>
        <charset val="134"/>
      </rPr>
      <t>Trade financ</t>
    </r>
    <r>
      <rPr>
        <sz val="11"/>
        <color theme="1"/>
        <rFont val="等线"/>
        <charset val="136"/>
        <scheme val="minor"/>
      </rPr>
      <t>ing</t>
    </r>
  </si>
  <si>
    <t>(HK$mn)</t>
  </si>
  <si>
    <t>yoy%</t>
  </si>
  <si>
    <t>2003 Q1</t>
  </si>
  <si>
    <t>Q2</t>
  </si>
  <si>
    <t>Q3</t>
  </si>
  <si>
    <t>Q4</t>
  </si>
  <si>
    <t>2004 Q1</t>
  </si>
  <si>
    <t>2005 Q1</t>
  </si>
  <si>
    <t>2006 Q1</t>
  </si>
  <si>
    <t>2007 Q1</t>
  </si>
  <si>
    <t>2008 Q1</t>
  </si>
  <si>
    <t>2009 Q1</t>
  </si>
  <si>
    <t>2010 Q1</t>
  </si>
  <si>
    <t>2011 Q1</t>
  </si>
  <si>
    <t>2012 Q1</t>
  </si>
  <si>
    <t>2013 Q1</t>
  </si>
  <si>
    <t>2014 Q1</t>
  </si>
  <si>
    <t>2015 Q1</t>
  </si>
  <si>
    <t>2016 Q1</t>
  </si>
  <si>
    <t>2017 Q1</t>
  </si>
  <si>
    <t>2018 Q1</t>
  </si>
  <si>
    <r>
      <rPr>
        <sz val="10"/>
        <rFont val="Arial"/>
        <charset val="134"/>
      </rPr>
      <t>2</t>
    </r>
    <r>
      <rPr>
        <sz val="11"/>
        <color theme="1"/>
        <rFont val="等线"/>
        <charset val="136"/>
        <scheme val="minor"/>
      </rPr>
      <t xml:space="preserve">019 </t>
    </r>
    <r>
      <rPr>
        <sz val="10"/>
        <rFont val="Arial"/>
        <charset val="134"/>
      </rPr>
      <t>Q1</t>
    </r>
  </si>
  <si>
    <r>
      <rPr>
        <sz val="10"/>
        <rFont val="Arial"/>
        <charset val="134"/>
      </rPr>
      <t xml:space="preserve">2020 </t>
    </r>
    <r>
      <rPr>
        <sz val="10"/>
        <rFont val="Arial"/>
        <charset val="134"/>
      </rPr>
      <t>Q1</t>
    </r>
  </si>
  <si>
    <r>
      <rPr>
        <sz val="10"/>
        <rFont val="Arial"/>
        <charset val="134"/>
      </rPr>
      <t xml:space="preserve">2021 </t>
    </r>
    <r>
      <rPr>
        <sz val="10"/>
        <rFont val="Arial"/>
        <charset val="134"/>
      </rPr>
      <t>Q1</t>
    </r>
  </si>
  <si>
    <r>
      <rPr>
        <sz val="10"/>
        <rFont val="Arial"/>
        <charset val="134"/>
      </rPr>
      <t xml:space="preserve">2022 </t>
    </r>
    <r>
      <rPr>
        <sz val="10"/>
        <rFont val="Arial"/>
        <charset val="134"/>
      </rPr>
      <t>Q1</t>
    </r>
  </si>
  <si>
    <t>2023 Q1</t>
  </si>
  <si>
    <t>2024 Q1</t>
  </si>
  <si>
    <t>2025 Q1</t>
  </si>
  <si>
    <t>2026 Q1</t>
  </si>
  <si>
    <t>1. Some loans have been reclassified.  As such, figures are not strictly comparable with those of previous quarters.</t>
  </si>
  <si>
    <t>2. The December 2018 figures for loans for use in/outside Hong Kong have been restated to reflect authorized institutions'</t>
  </si>
  <si>
    <t xml:space="preserve">reclassification of working capital loans. As reclassified loan data before December 2018 are not available, quarter-on-quarter </t>
  </si>
  <si>
    <r>
      <rPr>
        <sz val="10"/>
        <rFont val="Arial"/>
        <charset val="134"/>
      </rPr>
      <t>growth rates of domestic loans</t>
    </r>
    <r>
      <rPr>
        <sz val="10"/>
        <rFont val="Arial"/>
        <charset val="134"/>
      </rPr>
      <t xml:space="preserve"> (including their sub-components) are calculated based on the data without such </t>
    </r>
  </si>
  <si>
    <t>reclassification.</t>
  </si>
  <si>
    <t>* Includes property development &amp; investment and purchase of private residential properties.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</si>
</sst>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00_-;\-* #,##0.00_-;_-* &quot;-&quot;??_-;_-@_-"/>
    <numFmt numFmtId="178" formatCode="_-* #,##0_-;\-* #,##0_-;_-* &quot;-&quot;??_-;_-@_-"/>
    <numFmt numFmtId="179" formatCode="0.0"/>
    <numFmt numFmtId="180" formatCode="0.0_ "/>
    <numFmt numFmtId="181" formatCode="0.0%"/>
    <numFmt numFmtId="182" formatCode="0.0000000000%"/>
    <numFmt numFmtId="183" formatCode="#,##0.0"/>
    <numFmt numFmtId="184" formatCode="_(* #,##0_);_(* \(#,##0\);_(* &quot;-&quot;??_);_(@_)"/>
    <numFmt numFmtId="201" formatCode="0.0%;-0.0%;&quot;-&quot;"/>
    <numFmt numFmtId="202" formatCode="0.0%;[Red]-0.0%;0.0%"/>
    <numFmt numFmtId="203" formatCode="#,##0_);(#,##0);&quot;-&quot;_)"/>
  </numFmts>
  <fonts count="72">
    <font>
      <sz val="11"/>
      <color theme="1"/>
      <name val="等线"/>
      <charset val="136"/>
      <scheme val="minor"/>
    </font>
    <font>
      <sz val="10"/>
      <name val="Arial"/>
      <charset val="134"/>
    </font>
    <font>
      <b/>
      <sz val="10"/>
      <name val="Arial"/>
      <charset val="134"/>
    </font>
    <font>
      <sz val="10"/>
      <color indexed="8"/>
      <name val="Arial"/>
      <charset val="134"/>
    </font>
    <font>
      <b/>
      <sz val="12"/>
      <color rgb="FF212529"/>
      <name val="Arial"/>
      <charset val="134"/>
    </font>
    <font>
      <sz val="12"/>
      <color rgb="FF212529"/>
      <name val="Arial"/>
      <charset val="134"/>
    </font>
    <font>
      <sz val="10"/>
      <name val="Times New Roman"/>
      <charset val="134"/>
    </font>
    <font>
      <sz val="10"/>
      <name val="新細明體"/>
      <charset val="136"/>
    </font>
    <font>
      <b/>
      <sz val="10"/>
      <name val="Times New Roman"/>
      <charset val="134"/>
    </font>
    <font>
      <b/>
      <sz val="10"/>
      <name val="新細明體"/>
      <charset val="136"/>
    </font>
    <font>
      <sz val="10"/>
      <color theme="1"/>
      <name val="細明體"/>
      <charset val="136"/>
    </font>
    <font>
      <b/>
      <sz val="12"/>
      <name val="Arial"/>
      <charset val="134"/>
    </font>
    <font>
      <sz val="11"/>
      <color rgb="FF000000"/>
      <name val="Calibri"/>
      <charset val="1"/>
    </font>
    <font>
      <b/>
      <sz val="14"/>
      <color rgb="FF00338D"/>
      <name val="Noto Sans CJK SC"/>
      <charset val="134"/>
    </font>
    <font>
      <b/>
      <sz val="10"/>
      <color rgb="FFFFFFFF"/>
      <name val="Noto Sans CJK SC"/>
      <charset val="134"/>
    </font>
    <font>
      <sz val="11"/>
      <color rgb="FF000000"/>
      <name val="Noto Sans CJK SC"/>
      <charset val="134"/>
    </font>
    <font>
      <b/>
      <sz val="11"/>
      <name val="Noto Sans CJK SC"/>
      <charset val="134"/>
    </font>
    <font>
      <b/>
      <sz val="11"/>
      <name val="Cambria"/>
      <charset val="1"/>
    </font>
    <font>
      <i/>
      <sz val="9"/>
      <color rgb="FF808080"/>
      <name val="Noto Sans CJK SC"/>
      <charset val="134"/>
    </font>
    <font>
      <sz val="10"/>
      <name val="Noto Sans CJK SC"/>
      <charset val="134"/>
    </font>
    <font>
      <sz val="10"/>
      <name val="Cambria"/>
      <charset val="1"/>
    </font>
    <font>
      <sz val="11"/>
      <color theme="1"/>
      <name val="等线 Light"/>
      <charset val="134"/>
      <scheme val="major"/>
    </font>
    <font>
      <b/>
      <sz val="11"/>
      <color theme="1"/>
      <name val="等线 Light"/>
      <charset val="134"/>
      <scheme val="major"/>
    </font>
    <font>
      <sz val="11"/>
      <color theme="1"/>
      <name val="Times New Roman"/>
      <charset val="134"/>
    </font>
    <font>
      <b/>
      <sz val="11"/>
      <color theme="1"/>
      <name val="Times New Roman"/>
      <charset val="134"/>
    </font>
    <font>
      <sz val="11"/>
      <color theme="1"/>
      <name val="等线 Light"/>
      <charset val="136"/>
      <scheme val="major"/>
    </font>
    <font>
      <sz val="10"/>
      <name val="Times New Roman"/>
      <charset val="136"/>
    </font>
    <font>
      <sz val="11"/>
      <color theme="1"/>
      <name val="Times New Roman"/>
      <charset val="136"/>
    </font>
    <font>
      <b/>
      <sz val="14"/>
      <name val="Times New Roman"/>
      <charset val="134"/>
    </font>
    <font>
      <b/>
      <u/>
      <sz val="11"/>
      <color theme="1"/>
      <name val="Times New Roman"/>
      <charset val="134"/>
    </font>
    <font>
      <sz val="10"/>
      <color theme="1"/>
      <name val="Times New Roman"/>
      <charset val="136"/>
    </font>
    <font>
      <sz val="10"/>
      <name val="宋体-简"/>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Times New Roman"/>
      <charset val="134"/>
    </font>
    <font>
      <sz val="12"/>
      <name val="Times"/>
      <charset val="134"/>
    </font>
    <font>
      <b/>
      <vertAlign val="superscript"/>
      <sz val="10"/>
      <name val="Times New Roman"/>
      <charset val="134"/>
    </font>
    <font>
      <b/>
      <sz val="14"/>
      <color rgb="FF00338D"/>
      <name val="Cambria"/>
      <charset val="1"/>
    </font>
    <font>
      <vertAlign val="superscript"/>
      <sz val="10"/>
      <name val="Times New Roman"/>
      <charset val="134"/>
    </font>
    <font>
      <b/>
      <vertAlign val="superscript"/>
      <sz val="10"/>
      <name val="Arial"/>
      <charset val="134"/>
    </font>
    <font>
      <b/>
      <vertAlign val="superscript"/>
      <sz val="11"/>
      <color theme="1"/>
      <name val="Times New Roman"/>
      <charset val="134"/>
    </font>
    <font>
      <vertAlign val="superscript"/>
      <sz val="10"/>
      <name val="新細明體"/>
      <charset val="136"/>
    </font>
    <font>
      <b/>
      <vertAlign val="superscript"/>
      <sz val="10"/>
      <name val="新細明體"/>
      <charset val="136"/>
    </font>
    <font>
      <i/>
      <sz val="9"/>
      <color rgb="FF808080"/>
      <name val="Cambria"/>
      <charset val="1"/>
    </font>
    <font>
      <sz val="9"/>
      <color rgb="FF808080"/>
      <name val="Arial"/>
      <family val="2"/>
    </font>
    <font>
      <sz val="10"/>
      <color rgb="FF262626"/>
      <name val="Arial"/>
      <family val="2"/>
    </font>
    <font>
      <b/>
      <sz val="14"/>
      <color rgb="FF1F3864"/>
      <name val="Arial"/>
      <family val="2"/>
    </font>
    <font>
      <b/>
      <sz val="10"/>
      <color rgb="FFFFFFFF"/>
      <name val="Arial"/>
      <family val="2"/>
    </font>
    <font>
      <b/>
      <sz val="11"/>
      <color rgb="FFFFFFFF"/>
      <name val="Arial"/>
      <family val="2"/>
    </font>
    <font>
      <b/>
      <sz val="9"/>
      <color rgb="FF1F3864"/>
      <name val="Arial"/>
      <family val="2"/>
    </font>
    <font>
      <b/>
      <sz val="10"/>
      <color rgb="FF1F3864"/>
      <name val="Arial"/>
      <family val="2"/>
    </font>
    <font>
      <b/>
      <sz val="10"/>
      <color rgb="FF262626"/>
      <name val="Arial"/>
      <family val="2"/>
    </font>
    <font>
      <sz val="10"/>
      <color rgb="FF595959"/>
      <name val="Arial"/>
      <family val="2"/>
    </font>
    <font>
      <i/>
      <sz val="9"/>
      <color rgb="FF595959"/>
      <name val="Arial"/>
      <family val="2"/>
    </font>
  </fonts>
  <fills count="4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3" tint="0.899990844447157"/>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0"/>
        <bgColor indexed="64"/>
      </patternFill>
    </fill>
    <fill>
      <patternFill patternType="solid">
        <fgColor rgb="FF00338D"/>
        <bgColor rgb="FF333399"/>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1F3864"/>
        <bgColor indexed="64"/>
      </patternFill>
    </fill>
    <fill>
      <patternFill patternType="solid">
        <fgColor rgb="FFDCE3EE"/>
        <bgColor indexed="64"/>
      </patternFill>
    </fill>
    <fill>
      <patternFill patternType="solid">
        <fgColor rgb="FFE4EAF3"/>
        <bgColor indexed="64"/>
      </patternFill>
    </fill>
    <fill>
      <patternFill patternType="solid">
        <fgColor rgb="FFF3F5F9"/>
        <bgColor indexed="64"/>
      </patternFill>
    </fill>
    <fill>
      <patternFill patternType="solid">
        <fgColor rgb="FFFFF2CC"/>
        <bgColor indexed="64"/>
      </patternFill>
    </fill>
  </fills>
  <borders count="28">
    <border>
      <left/>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D9D9D9"/>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rgb="FF1F3864"/>
      </bottom>
      <diagonal/>
    </border>
    <border>
      <left/>
      <right/>
      <top style="thin">
        <color rgb="FF1F3864"/>
      </top>
      <bottom style="thin">
        <color rgb="FF1F3864"/>
      </bottom>
      <diagonal/>
    </border>
    <border>
      <left/>
      <right style="thin">
        <color rgb="FFA6A6A6"/>
      </right>
      <top style="thin">
        <color rgb="FF1F3864"/>
      </top>
      <bottom style="thin">
        <color rgb="FF1F3864"/>
      </bottom>
      <diagonal/>
    </border>
    <border>
      <left/>
      <right/>
      <top/>
      <bottom style="hair">
        <color rgb="FFD9D9D9"/>
      </bottom>
      <diagonal/>
    </border>
    <border>
      <left/>
      <right style="thin">
        <color rgb="FFA6A6A6"/>
      </right>
      <top/>
      <bottom style="hair">
        <color rgb="FFD9D9D9"/>
      </bottom>
      <diagonal/>
    </border>
    <border>
      <left/>
      <right/>
      <top/>
      <bottom style="thin">
        <color rgb="FF1F3864"/>
      </bottom>
      <diagonal/>
    </border>
    <border>
      <left/>
      <right style="thin">
        <color rgb="FFA6A6A6"/>
      </right>
      <top/>
      <bottom style="thin">
        <color rgb="FF1F3864"/>
      </bottom>
      <diagonal/>
    </border>
  </borders>
  <cellStyleXfs count="55">
    <xf numFmtId="0" fontId="0" fillId="0" borderId="0"/>
    <xf numFmtId="176" fontId="0" fillId="0" borderId="0" applyFont="0" applyFill="0" applyBorder="0" applyAlignment="0" applyProtection="0"/>
    <xf numFmtId="44" fontId="32" fillId="0" borderId="0" applyFont="0" applyFill="0" applyBorder="0" applyAlignment="0" applyProtection="0">
      <alignment vertical="center"/>
    </xf>
    <xf numFmtId="9" fontId="0" fillId="0" borderId="0" applyFont="0" applyFill="0" applyBorder="0" applyAlignment="0" applyProtection="0"/>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12" borderId="13"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4" applyNumberFormat="0" applyFill="0" applyAlignment="0" applyProtection="0">
      <alignment vertical="center"/>
    </xf>
    <xf numFmtId="0" fontId="39" fillId="0" borderId="14" applyNumberFormat="0" applyFill="0" applyAlignment="0" applyProtection="0">
      <alignment vertical="center"/>
    </xf>
    <xf numFmtId="0" fontId="40" fillId="0" borderId="15" applyNumberFormat="0" applyFill="0" applyAlignment="0" applyProtection="0">
      <alignment vertical="center"/>
    </xf>
    <xf numFmtId="0" fontId="40" fillId="0" borderId="0" applyNumberFormat="0" applyFill="0" applyBorder="0" applyAlignment="0" applyProtection="0">
      <alignment vertical="center"/>
    </xf>
    <xf numFmtId="0" fontId="41" fillId="13" borderId="16" applyNumberFormat="0" applyAlignment="0" applyProtection="0">
      <alignment vertical="center"/>
    </xf>
    <xf numFmtId="0" fontId="42" fillId="14" borderId="17" applyNumberFormat="0" applyAlignment="0" applyProtection="0">
      <alignment vertical="center"/>
    </xf>
    <xf numFmtId="0" fontId="43" fillId="14" borderId="16" applyNumberFormat="0" applyAlignment="0" applyProtection="0">
      <alignment vertical="center"/>
    </xf>
    <xf numFmtId="0" fontId="44" fillId="15" borderId="18" applyNumberFormat="0" applyAlignment="0" applyProtection="0">
      <alignment vertical="center"/>
    </xf>
    <xf numFmtId="0" fontId="45" fillId="0" borderId="19" applyNumberFormat="0" applyFill="0" applyAlignment="0" applyProtection="0">
      <alignment vertical="center"/>
    </xf>
    <xf numFmtId="0" fontId="46" fillId="0" borderId="20" applyNumberFormat="0" applyFill="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51" fillId="40" borderId="0" applyNumberFormat="0" applyBorder="0" applyAlignment="0" applyProtection="0">
      <alignment vertical="center"/>
    </xf>
    <xf numFmtId="0" fontId="51" fillId="41" borderId="0" applyNumberFormat="0" applyBorder="0" applyAlignment="0" applyProtection="0">
      <alignment vertical="center"/>
    </xf>
    <xf numFmtId="0" fontId="50" fillId="42" borderId="0" applyNumberFormat="0" applyBorder="0" applyAlignment="0" applyProtection="0">
      <alignment vertical="center"/>
    </xf>
    <xf numFmtId="177" fontId="1" fillId="0" borderId="0" applyFont="0" applyFill="0" applyBorder="0" applyAlignment="0" applyProtection="0"/>
    <xf numFmtId="176" fontId="52" fillId="0" borderId="0" applyFont="0" applyFill="0" applyBorder="0" applyAlignment="0" applyProtection="0"/>
    <xf numFmtId="0" fontId="1" fillId="0" borderId="0"/>
    <xf numFmtId="37" fontId="53" fillId="0" borderId="0"/>
    <xf numFmtId="9" fontId="1" fillId="0" borderId="0" applyFont="0" applyFill="0" applyBorder="0" applyAlignment="0" applyProtection="0"/>
    <xf numFmtId="9" fontId="52" fillId="0" borderId="0" applyFont="0" applyFill="0" applyBorder="0" applyAlignment="0" applyProtection="0"/>
  </cellStyleXfs>
  <cellXfs count="231">
    <xf numFmtId="0" fontId="0" fillId="0" borderId="0" xfId="0"/>
    <xf numFmtId="0" fontId="1" fillId="0" borderId="0" xfId="51" applyAlignment="1">
      <alignment wrapText="1"/>
    </xf>
    <xf numFmtId="0" fontId="1" fillId="0" borderId="0" xfId="51" applyAlignment="1">
      <alignment horizontal="right" wrapText="1"/>
    </xf>
    <xf numFmtId="0" fontId="1" fillId="0" borderId="0" xfId="51" applyAlignment="1">
      <alignment horizontal="right"/>
    </xf>
    <xf numFmtId="0" fontId="1" fillId="0" borderId="0" xfId="51"/>
    <xf numFmtId="0" fontId="2" fillId="0" borderId="1" xfId="51" applyFont="1" applyBorder="1" applyAlignment="1">
      <alignment horizontal="centerContinuous" wrapText="1"/>
    </xf>
    <xf numFmtId="0" fontId="1" fillId="2" borderId="0" xfId="51" applyFill="1" applyAlignment="1">
      <alignment horizontal="right" wrapText="1"/>
    </xf>
    <xf numFmtId="178" fontId="1" fillId="0" borderId="0" xfId="49" applyNumberFormat="1" applyFont="1" applyFill="1" applyAlignment="1">
      <alignment horizontal="right"/>
    </xf>
    <xf numFmtId="179" fontId="3" fillId="0" borderId="0" xfId="51" applyNumberFormat="1" applyFont="1" applyAlignment="1">
      <alignment horizontal="right"/>
    </xf>
    <xf numFmtId="179" fontId="1" fillId="0" borderId="0" xfId="51" applyNumberFormat="1"/>
    <xf numFmtId="0" fontId="3" fillId="0" borderId="0" xfId="51" applyFont="1" applyAlignment="1">
      <alignment horizontal="right"/>
    </xf>
    <xf numFmtId="0" fontId="3" fillId="0" borderId="0" xfId="51" applyFont="1"/>
    <xf numFmtId="179" fontId="3" fillId="0" borderId="0" xfId="51" applyNumberFormat="1" applyFont="1"/>
    <xf numFmtId="180" fontId="1" fillId="0" borderId="0" xfId="51" applyNumberFormat="1"/>
    <xf numFmtId="179" fontId="1" fillId="0" borderId="0" xfId="51" applyNumberFormat="1" applyAlignment="1">
      <alignment vertical="center"/>
    </xf>
    <xf numFmtId="181" fontId="1" fillId="0" borderId="0" xfId="53" applyNumberFormat="1" applyFont="1" applyFill="1"/>
    <xf numFmtId="0" fontId="1" fillId="0" borderId="0" xfId="51" applyAlignment="1">
      <alignment horizontal="left"/>
    </xf>
    <xf numFmtId="179" fontId="1" fillId="0" borderId="0" xfId="51" applyNumberFormat="1" applyAlignment="1">
      <alignment horizontal="right"/>
    </xf>
    <xf numFmtId="180" fontId="1" fillId="0" borderId="0" xfId="51" applyNumberFormat="1" applyAlignment="1">
      <alignment horizontal="right"/>
    </xf>
    <xf numFmtId="0" fontId="4" fillId="3" borderId="2" xfId="0" applyFont="1" applyFill="1" applyBorder="1" applyAlignment="1">
      <alignment horizontal="center" vertical="center" wrapText="1"/>
    </xf>
    <xf numFmtId="0" fontId="5" fillId="3" borderId="2" xfId="0" applyFont="1" applyFill="1" applyBorder="1" applyAlignment="1">
      <alignment vertical="center" wrapText="1"/>
    </xf>
    <xf numFmtId="182" fontId="0" fillId="0" borderId="0" xfId="3" applyNumberFormat="1" applyFont="1"/>
    <xf numFmtId="0" fontId="5" fillId="0" borderId="0" xfId="0" applyFont="1"/>
    <xf numFmtId="0" fontId="6" fillId="0" borderId="0" xfId="0" applyFont="1" applyAlignment="1">
      <alignment horizontal="left"/>
    </xf>
    <xf numFmtId="37" fontId="6" fillId="0" borderId="0" xfId="52" applyFont="1" applyAlignment="1" applyProtection="1">
      <alignment horizontal="left"/>
    </xf>
    <xf numFmtId="37" fontId="6" fillId="0" borderId="0" xfId="52" applyFont="1" applyFill="1" applyBorder="1" applyAlignment="1" applyProtection="1">
      <alignment horizontal="left"/>
    </xf>
    <xf numFmtId="37" fontId="7" fillId="0" borderId="0" xfId="52" applyFont="1" applyAlignment="1" applyProtection="1">
      <alignment horizontal="left"/>
    </xf>
    <xf numFmtId="37" fontId="8" fillId="0" borderId="0" xfId="52" applyFont="1" applyAlignment="1" applyProtection="1">
      <alignment horizontal="left"/>
    </xf>
    <xf numFmtId="37" fontId="9" fillId="0" borderId="0" xfId="52" applyFont="1" applyAlignment="1">
      <alignment horizontal="left"/>
    </xf>
    <xf numFmtId="37" fontId="9" fillId="0" borderId="0" xfId="52" applyFont="1"/>
    <xf numFmtId="37" fontId="7" fillId="0" borderId="0" xfId="52" applyFont="1" applyAlignment="1">
      <alignment horizontal="left"/>
    </xf>
    <xf numFmtId="37" fontId="6" fillId="0" borderId="0" xfId="52" applyFont="1" applyAlignment="1">
      <alignment horizontal="left"/>
    </xf>
    <xf numFmtId="37" fontId="7" fillId="0" borderId="0" xfId="52" applyFont="1" applyFill="1" applyAlignment="1" applyProtection="1">
      <alignment horizontal="left"/>
    </xf>
    <xf numFmtId="37" fontId="8" fillId="0" borderId="0" xfId="52" applyFont="1"/>
    <xf numFmtId="0" fontId="9" fillId="0" borderId="0" xfId="0" applyFont="1"/>
    <xf numFmtId="0" fontId="7" fillId="0" borderId="0" xfId="0" applyFont="1" applyAlignment="1">
      <alignment horizontal="left"/>
    </xf>
    <xf numFmtId="176" fontId="5" fillId="3" borderId="2" xfId="1" applyNumberFormat="1" applyFont="1" applyFill="1" applyBorder="1" applyAlignment="1">
      <alignment vertical="center" wrapText="1"/>
    </xf>
    <xf numFmtId="2" fontId="0" fillId="0" borderId="0" xfId="0" applyNumberFormat="1"/>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2" fontId="4" fillId="7" borderId="2" xfId="0" applyNumberFormat="1"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0" fillId="9" borderId="0" xfId="0" applyFont="1" applyFill="1" applyAlignment="1">
      <alignment horizontal="left"/>
    </xf>
    <xf numFmtId="0" fontId="4" fillId="3" borderId="2" xfId="0" applyFont="1" applyFill="1" applyBorder="1" applyAlignment="1">
      <alignment horizontal="left" vertical="center"/>
    </xf>
    <xf numFmtId="2" fontId="4" fillId="3" borderId="2" xfId="0" applyNumberFormat="1" applyFont="1" applyFill="1" applyBorder="1" applyAlignment="1">
      <alignment horizontal="center" vertical="center" wrapText="1"/>
    </xf>
    <xf numFmtId="0" fontId="4" fillId="3" borderId="2" xfId="0" applyFont="1" applyFill="1" applyBorder="1" applyAlignment="1">
      <alignment vertical="center" wrapText="1"/>
    </xf>
    <xf numFmtId="0" fontId="4" fillId="2" borderId="2" xfId="0" applyFont="1" applyFill="1" applyBorder="1" applyAlignment="1">
      <alignment vertical="center" wrapText="1"/>
    </xf>
    <xf numFmtId="2" fontId="5" fillId="3" borderId="2" xfId="0" applyNumberFormat="1" applyFont="1" applyFill="1" applyBorder="1" applyAlignment="1">
      <alignment vertical="center" wrapText="1"/>
    </xf>
    <xf numFmtId="0" fontId="11" fillId="2" borderId="2" xfId="0" applyFont="1" applyFill="1" applyBorder="1" applyAlignment="1">
      <alignment vertical="center" wrapText="1"/>
    </xf>
    <xf numFmtId="0" fontId="0" fillId="8" borderId="0" xfId="0" applyFill="1"/>
    <xf numFmtId="0" fontId="5" fillId="3" borderId="3" xfId="0" applyFont="1" applyFill="1" applyBorder="1" applyAlignment="1">
      <alignment horizontal="center" vertical="center" wrapText="1"/>
    </xf>
    <xf numFmtId="0" fontId="5" fillId="8" borderId="2" xfId="0" applyFont="1" applyFill="1" applyBorder="1" applyAlignment="1">
      <alignment vertical="center" wrapText="1"/>
    </xf>
    <xf numFmtId="0" fontId="12" fillId="0" borderId="0" xfId="0" applyFont="1" applyFill="1" applyAlignment="1"/>
    <xf numFmtId="0" fontId="13" fillId="0" borderId="0" xfId="0" applyFont="1" applyFill="1" applyBorder="1" applyAlignment="1"/>
    <xf numFmtId="0" fontId="14" fillId="10" borderId="0" xfId="0" applyFont="1" applyFill="1" applyAlignment="1">
      <alignment horizontal="center" vertical="center"/>
    </xf>
    <xf numFmtId="0" fontId="12" fillId="0" borderId="4" xfId="0" applyFont="1" applyFill="1" applyBorder="1" applyAlignment="1">
      <alignment horizontal="center"/>
    </xf>
    <xf numFmtId="0" fontId="12" fillId="0" borderId="4" xfId="0" applyFont="1" applyFill="1" applyBorder="1" applyAlignment="1"/>
    <xf numFmtId="0" fontId="15" fillId="0" borderId="4" xfId="0" applyFont="1" applyFill="1" applyBorder="1" applyAlignment="1"/>
    <xf numFmtId="183" fontId="12" fillId="0" borderId="4" xfId="0" applyNumberFormat="1" applyFont="1" applyFill="1" applyBorder="1" applyAlignment="1">
      <alignment horizontal="center"/>
    </xf>
    <xf numFmtId="181" fontId="12" fillId="0" borderId="4" xfId="0" applyNumberFormat="1" applyFont="1" applyFill="1" applyBorder="1" applyAlignment="1">
      <alignment horizontal="center"/>
    </xf>
    <xf numFmtId="0" fontId="12" fillId="11" borderId="4" xfId="0" applyFont="1" applyFill="1" applyBorder="1" applyAlignment="1">
      <alignment horizontal="center"/>
    </xf>
    <xf numFmtId="0" fontId="12" fillId="11" borderId="4" xfId="0" applyFont="1" applyFill="1" applyBorder="1" applyAlignment="1"/>
    <xf numFmtId="0" fontId="15" fillId="11" borderId="4" xfId="0" applyFont="1" applyFill="1" applyBorder="1" applyAlignment="1"/>
    <xf numFmtId="183" fontId="12" fillId="11" borderId="4" xfId="0" applyNumberFormat="1" applyFont="1" applyFill="1" applyBorder="1" applyAlignment="1">
      <alignment horizontal="center"/>
    </xf>
    <xf numFmtId="181" fontId="12" fillId="11" borderId="4" xfId="0" applyNumberFormat="1" applyFont="1" applyFill="1" applyBorder="1" applyAlignment="1">
      <alignment horizontal="center"/>
    </xf>
    <xf numFmtId="0" fontId="16" fillId="0" borderId="0" xfId="0" applyFont="1" applyFill="1" applyAlignment="1"/>
    <xf numFmtId="183" fontId="17" fillId="0" borderId="0" xfId="0" applyNumberFormat="1" applyFont="1" applyFill="1" applyAlignment="1"/>
    <xf numFmtId="181" fontId="17" fillId="0" borderId="0" xfId="0" applyNumberFormat="1" applyFont="1" applyFill="1" applyAlignment="1"/>
    <xf numFmtId="0" fontId="18" fillId="0" borderId="0" xfId="0" applyFont="1" applyFill="1" applyBorder="1" applyAlignment="1"/>
    <xf numFmtId="0" fontId="14" fillId="10" borderId="0" xfId="0" applyFont="1" applyFill="1" applyAlignment="1">
      <alignment vertical="top" wrapText="1"/>
    </xf>
    <xf numFmtId="0" fontId="19" fillId="0" borderId="0" xfId="0" applyFont="1" applyFill="1" applyAlignment="1">
      <alignment vertical="top" wrapText="1"/>
    </xf>
    <xf numFmtId="0" fontId="20" fillId="0" borderId="0" xfId="0" applyFont="1" applyFill="1" applyAlignment="1">
      <alignment vertical="top" wrapText="1"/>
    </xf>
    <xf numFmtId="0" fontId="21" fillId="9" borderId="0" xfId="0" applyFont="1" applyFill="1"/>
    <xf numFmtId="0" fontId="22" fillId="9" borderId="1" xfId="0" applyFont="1" applyFill="1" applyBorder="1"/>
    <xf numFmtId="0" fontId="22" fillId="9" borderId="0" xfId="0" applyFont="1" applyFill="1"/>
    <xf numFmtId="0" fontId="23" fillId="9" borderId="0" xfId="0" applyFont="1" applyFill="1" applyBorder="1"/>
    <xf numFmtId="0" fontId="24" fillId="9" borderId="0" xfId="0" applyFont="1" applyFill="1" applyBorder="1"/>
    <xf numFmtId="0" fontId="21" fillId="9" borderId="0" xfId="0" applyFont="1" applyFill="1" applyBorder="1"/>
    <xf numFmtId="0" fontId="25" fillId="9" borderId="0" xfId="0" applyFont="1" applyFill="1" applyBorder="1"/>
    <xf numFmtId="0" fontId="25" fillId="9" borderId="5" xfId="0" applyFont="1" applyFill="1" applyBorder="1"/>
    <xf numFmtId="0" fontId="21" fillId="9" borderId="6" xfId="0" applyFont="1" applyFill="1" applyBorder="1"/>
    <xf numFmtId="37" fontId="6" fillId="9" borderId="0" xfId="52" applyFont="1" applyFill="1" applyAlignment="1" applyProtection="1">
      <alignment horizontal="left"/>
    </xf>
    <xf numFmtId="0" fontId="21" fillId="9" borderId="6" xfId="0" applyFont="1" applyFill="1" applyBorder="1" applyAlignment="1">
      <alignment horizontal="center"/>
    </xf>
    <xf numFmtId="0" fontId="21" fillId="9" borderId="0" xfId="0" applyFont="1" applyFill="1" applyBorder="1" applyAlignment="1">
      <alignment horizontal="center"/>
    </xf>
    <xf numFmtId="14" fontId="21" fillId="9" borderId="0" xfId="0" applyNumberFormat="1" applyFont="1" applyFill="1"/>
    <xf numFmtId="37" fontId="6" fillId="9" borderId="1" xfId="52" applyFont="1" applyFill="1" applyBorder="1" applyAlignment="1" applyProtection="1">
      <alignment horizontal="left"/>
    </xf>
    <xf numFmtId="37" fontId="26" fillId="9" borderId="5" xfId="52" applyFont="1" applyFill="1" applyBorder="1"/>
    <xf numFmtId="37" fontId="6" fillId="9" borderId="6" xfId="52" applyFont="1" applyFill="1" applyBorder="1"/>
    <xf numFmtId="37" fontId="6" fillId="9" borderId="0" xfId="52" applyFont="1" applyFill="1" applyBorder="1"/>
    <xf numFmtId="0" fontId="21" fillId="9" borderId="1" xfId="0" applyFont="1" applyFill="1" applyBorder="1"/>
    <xf numFmtId="0" fontId="25" fillId="9" borderId="7" xfId="0" applyFont="1" applyFill="1" applyBorder="1"/>
    <xf numFmtId="0" fontId="21" fillId="9" borderId="8" xfId="0" applyFont="1" applyFill="1" applyBorder="1"/>
    <xf numFmtId="37" fontId="6" fillId="9" borderId="0" xfId="52" applyFont="1" applyFill="1" applyBorder="1" applyAlignment="1" applyProtection="1">
      <alignment horizontal="left"/>
    </xf>
    <xf numFmtId="0" fontId="27" fillId="9" borderId="5" xfId="0" applyFont="1" applyFill="1" applyBorder="1"/>
    <xf numFmtId="0" fontId="23" fillId="9" borderId="6" xfId="0" applyFont="1" applyFill="1" applyBorder="1"/>
    <xf numFmtId="37" fontId="28" fillId="9" borderId="0" xfId="52" applyFont="1" applyFill="1" applyBorder="1" applyAlignment="1">
      <alignment vertical="top"/>
    </xf>
    <xf numFmtId="37" fontId="28" fillId="9" borderId="0" xfId="52" applyFont="1" applyFill="1" applyBorder="1" applyAlignment="1">
      <alignment horizontal="center" vertical="top"/>
    </xf>
    <xf numFmtId="0" fontId="23" fillId="9" borderId="0" xfId="0" applyFont="1" applyFill="1" applyBorder="1" applyAlignment="1">
      <alignment horizontal="center"/>
    </xf>
    <xf numFmtId="0" fontId="29" fillId="9" borderId="0" xfId="0" applyFont="1" applyFill="1" applyBorder="1" applyAlignment="1">
      <alignment horizontal="center"/>
    </xf>
    <xf numFmtId="37" fontId="8" fillId="9" borderId="0" xfId="52" applyFont="1" applyFill="1" applyBorder="1" applyAlignment="1" applyProtection="1">
      <alignment horizontal="left" vertical="top"/>
    </xf>
    <xf numFmtId="0" fontId="24" fillId="9" borderId="6" xfId="0" applyFont="1" applyFill="1" applyBorder="1" applyAlignment="1">
      <alignment horizontal="center" wrapText="1"/>
    </xf>
    <xf numFmtId="0" fontId="24" fillId="9" borderId="1" xfId="0" applyFont="1" applyFill="1" applyBorder="1" applyAlignment="1">
      <alignment horizontal="center" wrapText="1"/>
    </xf>
    <xf numFmtId="0" fontId="24" fillId="9" borderId="0" xfId="0" applyFont="1" applyFill="1" applyBorder="1" applyAlignment="1">
      <alignment horizontal="center"/>
    </xf>
    <xf numFmtId="0" fontId="24" fillId="9" borderId="0" xfId="0" applyFont="1" applyFill="1" applyBorder="1" applyAlignment="1">
      <alignment horizontal="center" wrapText="1"/>
    </xf>
    <xf numFmtId="0" fontId="24" fillId="9" borderId="9" xfId="0" applyFont="1" applyFill="1" applyBorder="1"/>
    <xf numFmtId="0" fontId="29" fillId="9" borderId="9" xfId="0" applyFont="1" applyFill="1" applyBorder="1"/>
    <xf numFmtId="0" fontId="27" fillId="9" borderId="10" xfId="0" applyFont="1" applyFill="1" applyBorder="1"/>
    <xf numFmtId="181" fontId="24" fillId="9" borderId="11" xfId="3" applyNumberFormat="1" applyFont="1" applyFill="1" applyBorder="1"/>
    <xf numFmtId="10" fontId="23" fillId="9" borderId="0" xfId="3" applyNumberFormat="1" applyFont="1" applyFill="1" applyBorder="1"/>
    <xf numFmtId="184" fontId="24" fillId="9" borderId="9" xfId="1" applyNumberFormat="1" applyFont="1" applyFill="1" applyBorder="1"/>
    <xf numFmtId="0" fontId="24" fillId="9" borderId="0" xfId="0" applyFont="1" applyFill="1"/>
    <xf numFmtId="181" fontId="24" fillId="9" borderId="6" xfId="3" applyNumberFormat="1" applyFont="1" applyFill="1" applyBorder="1"/>
    <xf numFmtId="10" fontId="23" fillId="9" borderId="12" xfId="3" applyNumberFormat="1" applyFont="1" applyFill="1" applyBorder="1"/>
    <xf numFmtId="184" fontId="24" fillId="9" borderId="0" xfId="1" applyNumberFormat="1" applyFont="1" applyFill="1"/>
    <xf numFmtId="0" fontId="24" fillId="9" borderId="0" xfId="0" applyFont="1" applyFill="1" applyAlignment="1">
      <alignment horizontal="left" indent="2"/>
    </xf>
    <xf numFmtId="0" fontId="30" fillId="9" borderId="5" xfId="0" applyFont="1" applyFill="1" applyBorder="1"/>
    <xf numFmtId="0" fontId="23" fillId="9" borderId="0" xfId="0" applyFont="1" applyFill="1"/>
    <xf numFmtId="0" fontId="23" fillId="9" borderId="0" xfId="0" applyFont="1" applyFill="1" applyAlignment="1">
      <alignment horizontal="left" indent="4"/>
    </xf>
    <xf numFmtId="0" fontId="30" fillId="9" borderId="5" xfId="0" applyFont="1" applyFill="1" applyBorder="1" applyAlignment="1">
      <alignment horizontal="left" indent="2"/>
    </xf>
    <xf numFmtId="184" fontId="23" fillId="9" borderId="0" xfId="1" applyNumberFormat="1" applyFont="1" applyFill="1"/>
    <xf numFmtId="37" fontId="8" fillId="9" borderId="0" xfId="52" applyFont="1" applyFill="1" applyAlignment="1" applyProtection="1">
      <alignment horizontal="left"/>
    </xf>
    <xf numFmtId="37" fontId="8" fillId="9" borderId="5" xfId="52" applyFont="1" applyFill="1" applyBorder="1"/>
    <xf numFmtId="10" fontId="24" fillId="9" borderId="0" xfId="3" applyNumberFormat="1" applyFont="1" applyFill="1" applyBorder="1"/>
    <xf numFmtId="37" fontId="8" fillId="9" borderId="0" xfId="52" applyFont="1" applyFill="1"/>
    <xf numFmtId="37" fontId="6" fillId="9" borderId="0" xfId="52" applyFont="1" applyFill="1" applyAlignment="1" applyProtection="1">
      <alignment horizontal="left" indent="2"/>
    </xf>
    <xf numFmtId="37" fontId="6" fillId="9" borderId="5" xfId="52" applyFont="1" applyFill="1" applyBorder="1" applyAlignment="1" applyProtection="1">
      <alignment horizontal="left" indent="2"/>
    </xf>
    <xf numFmtId="181" fontId="23" fillId="9" borderId="6" xfId="3" applyNumberFormat="1" applyFont="1" applyFill="1" applyBorder="1"/>
    <xf numFmtId="37" fontId="6" fillId="9" borderId="0" xfId="52" applyFont="1" applyFill="1"/>
    <xf numFmtId="37" fontId="6" fillId="9" borderId="0" xfId="52" applyFont="1" applyFill="1" applyAlignment="1">
      <alignment horizontal="left" indent="2"/>
    </xf>
    <xf numFmtId="37" fontId="6" fillId="9" borderId="5" xfId="52" applyFont="1" applyFill="1" applyBorder="1" applyAlignment="1">
      <alignment horizontal="left" indent="2"/>
    </xf>
    <xf numFmtId="37" fontId="31" fillId="9" borderId="5" xfId="52" applyFont="1" applyFill="1" applyBorder="1" applyAlignment="1">
      <alignment horizontal="left"/>
    </xf>
    <xf numFmtId="37" fontId="6" fillId="9" borderId="5" xfId="52" applyFont="1" applyFill="1" applyBorder="1"/>
    <xf numFmtId="37" fontId="6" fillId="9" borderId="5" xfId="52" applyFont="1" applyFill="1" applyBorder="1" applyAlignment="1">
      <alignment horizontal="left"/>
    </xf>
    <xf numFmtId="37" fontId="6" fillId="9" borderId="0" xfId="52" applyFont="1" applyFill="1" applyAlignment="1">
      <alignment horizontal="left"/>
    </xf>
    <xf numFmtId="37" fontId="8" fillId="9" borderId="0" xfId="52" applyFont="1" applyFill="1" applyAlignment="1">
      <alignment horizontal="left"/>
    </xf>
    <xf numFmtId="37" fontId="8" fillId="9" borderId="0" xfId="52" applyFont="1" applyFill="1" applyAlignment="1">
      <alignment horizontal="left" indent="2"/>
    </xf>
    <xf numFmtId="37" fontId="8" fillId="9" borderId="5" xfId="52" applyFont="1" applyFill="1" applyBorder="1" applyAlignment="1">
      <alignment horizontal="left" indent="2"/>
    </xf>
    <xf numFmtId="37" fontId="8" fillId="9" borderId="5" xfId="52" applyFont="1" applyFill="1" applyBorder="1" applyAlignment="1">
      <alignment horizontal="left"/>
    </xf>
    <xf numFmtId="37" fontId="31" fillId="9" borderId="5" xfId="52" applyFont="1" applyFill="1" applyBorder="1"/>
    <xf numFmtId="37" fontId="6" fillId="9" borderId="5" xfId="52" applyFont="1" applyFill="1" applyBorder="1" applyAlignment="1" applyProtection="1">
      <alignment horizontal="left"/>
    </xf>
    <xf numFmtId="37" fontId="8" fillId="9" borderId="5" xfId="52" applyFont="1" applyFill="1" applyBorder="1" applyAlignment="1" applyProtection="1">
      <alignment horizontal="left"/>
    </xf>
    <xf numFmtId="184" fontId="23" fillId="9" borderId="0" xfId="0" applyNumberFormat="1" applyFont="1" applyFill="1"/>
    <xf numFmtId="0" fontId="24" fillId="9" borderId="1" xfId="0" applyFont="1" applyFill="1" applyBorder="1" applyAlignment="1">
      <alignment horizontal="left" indent="2"/>
    </xf>
    <xf numFmtId="37" fontId="8" fillId="9" borderId="1" xfId="52" applyFont="1" applyFill="1" applyBorder="1"/>
    <xf numFmtId="0" fontId="27" fillId="9" borderId="7" xfId="0" applyFont="1" applyFill="1" applyBorder="1"/>
    <xf numFmtId="181" fontId="24" fillId="9" borderId="8" xfId="3" applyNumberFormat="1" applyFont="1" applyFill="1" applyBorder="1"/>
    <xf numFmtId="10" fontId="23" fillId="9" borderId="1" xfId="3" applyNumberFormat="1" applyFont="1" applyFill="1" applyBorder="1"/>
    <xf numFmtId="184" fontId="24" fillId="9" borderId="1" xfId="1" applyNumberFormat="1" applyFont="1" applyFill="1" applyBorder="1"/>
    <xf numFmtId="0" fontId="27" fillId="9" borderId="0" xfId="0" applyFont="1" applyFill="1" applyBorder="1"/>
    <xf numFmtId="0" fontId="6" fillId="9" borderId="0" xfId="51" applyFont="1" applyFill="1" applyAlignment="1">
      <alignment horizontal="right"/>
    </xf>
    <xf numFmtId="0" fontId="6" fillId="9" borderId="0" xfId="51" applyFont="1" applyFill="1"/>
    <xf numFmtId="0" fontId="7" fillId="9" borderId="0" xfId="51" applyFont="1" applyFill="1" applyAlignment="1">
      <alignment horizontal="right"/>
    </xf>
    <xf numFmtId="0" fontId="7" fillId="9" borderId="0" xfId="51" applyFont="1" applyFill="1"/>
    <xf numFmtId="0" fontId="22" fillId="9" borderId="0" xfId="0" applyFont="1" applyFill="1" applyBorder="1"/>
    <xf numFmtId="37" fontId="6" fillId="9" borderId="1" xfId="52" applyFont="1" applyFill="1" applyBorder="1" applyAlignment="1" applyProtection="1" quotePrefix="1">
      <alignment horizontal="left"/>
    </xf>
    <xf numFmtId="37" fontId="6" fillId="9" borderId="0" xfId="52" applyFont="1" applyFill="1" applyAlignment="1" applyProtection="1" quotePrefix="1">
      <alignment horizontal="left" indent="2"/>
    </xf>
    <xf numFmtId="37" fontId="6" fillId="9" borderId="5" xfId="52" applyFont="1" applyFill="1" applyBorder="1" applyAlignment="1" applyProtection="1" quotePrefix="1">
      <alignment horizontal="left" indent="2"/>
    </xf>
    <xf numFmtId="37" fontId="6" fillId="9" borderId="0" xfId="52" applyFont="1" applyFill="1" applyAlignment="1" quotePrefix="1">
      <alignment horizontal="left" indent="2"/>
    </xf>
    <xf numFmtId="37" fontId="6" fillId="9" borderId="5" xfId="52" applyFont="1" applyFill="1" applyBorder="1" applyAlignment="1" quotePrefix="1">
      <alignment horizontal="left" indent="2"/>
    </xf>
    <xf numFmtId="37" fontId="6" fillId="9" borderId="0" xfId="52" applyFont="1" applyFill="1" applyAlignment="1" applyProtection="1" quotePrefix="1">
      <alignment horizontal="left"/>
    </xf>
    <xf numFmtId="37" fontId="31" fillId="9" borderId="5" xfId="52" applyFont="1" applyFill="1" applyBorder="1" applyAlignment="1" quotePrefix="1">
      <alignment horizontal="left"/>
    </xf>
    <xf numFmtId="37" fontId="6" fillId="9" borderId="5" xfId="52" applyFont="1" applyFill="1" applyBorder="1" applyAlignment="1" quotePrefix="1">
      <alignment horizontal="left"/>
    </xf>
    <xf numFmtId="37" fontId="8" fillId="9" borderId="0" xfId="52" applyFont="1" applyFill="1" applyAlignment="1" quotePrefix="1">
      <alignment horizontal="left" indent="2"/>
    </xf>
    <xf numFmtId="37" fontId="8" fillId="9" borderId="5" xfId="52" applyFont="1" applyFill="1" applyBorder="1" applyAlignment="1" quotePrefix="1">
      <alignment horizontal="left" indent="2"/>
    </xf>
    <xf numFmtId="37" fontId="8" fillId="9" borderId="5" xfId="52" applyFont="1" applyFill="1" applyBorder="1" applyAlignment="1" quotePrefix="1">
      <alignment horizontal="left"/>
    </xf>
    <xf numFmtId="37" fontId="6" fillId="9" borderId="5" xfId="52" applyFont="1" applyFill="1" applyBorder="1" applyAlignment="1" applyProtection="1" quotePrefix="1">
      <alignment horizontal="left"/>
    </xf>
    <xf numFmtId="37" fontId="8" fillId="9" borderId="0" xfId="52" applyFont="1" applyFill="1" applyAlignment="1" applyProtection="1" quotePrefix="1">
      <alignment horizontal="left"/>
    </xf>
    <xf numFmtId="37" fontId="8" fillId="9" borderId="5" xfId="52" applyFont="1" applyFill="1" applyBorder="1" applyAlignment="1" applyProtection="1" quotePrefix="1">
      <alignment horizontal="left"/>
    </xf>
    <xf numFmtId="0" fontId="6" fillId="9" borderId="0" xfId="51" applyFont="1" applyFill="1" applyAlignment="1" quotePrefix="1">
      <alignment horizontal="right"/>
    </xf>
    <xf numFmtId="0" fontId="7" fillId="9" borderId="0" xfId="51" applyFont="1" applyFill="1" applyAlignment="1" quotePrefix="1">
      <alignment horizontal="right"/>
    </xf>
    <xf numFmtId="0" fontId="6" fillId="0" borderId="0" xfId="0" applyFont="1" applyAlignment="1" quotePrefix="1">
      <alignment horizontal="left"/>
    </xf>
    <xf numFmtId="37" fontId="6" fillId="0" borderId="0" xfId="52" applyFont="1" applyAlignment="1" applyProtection="1" quotePrefix="1">
      <alignment horizontal="left"/>
    </xf>
    <xf numFmtId="37" fontId="7" fillId="0" borderId="0" xfId="52" applyFont="1" applyAlignment="1" applyProtection="1" quotePrefix="1">
      <alignment horizontal="left"/>
    </xf>
    <xf numFmtId="37" fontId="8" fillId="0" borderId="0" xfId="52" applyFont="1" applyAlignment="1" applyProtection="1" quotePrefix="1">
      <alignment horizontal="left"/>
    </xf>
    <xf numFmtId="37" fontId="9" fillId="0" borderId="0" xfId="52" applyFont="1" applyAlignment="1" quotePrefix="1">
      <alignment horizontal="left"/>
    </xf>
    <xf numFmtId="37" fontId="6" fillId="0" borderId="0" xfId="52" applyFont="1" applyAlignment="1" quotePrefix="1">
      <alignment horizontal="left"/>
    </xf>
    <xf numFmtId="37" fontId="7" fillId="0" borderId="0" xfId="52" applyFont="1" applyAlignment="1" quotePrefix="1">
      <alignment horizontal="left"/>
    </xf>
    <xf numFmtId="0" fontId="7" fillId="0" borderId="0" xfId="0" applyFont="1" applyAlignment="1" quotePrefix="1">
      <alignment horizontal="left"/>
    </xf>
    <xf numFmtId="0" fontId="1" fillId="0" borderId="0" xfId="51" applyAlignment="1" quotePrefix="1">
      <alignment horizontal="right" wrapText="1"/>
    </xf>
    <xf numFmtId="0" fontId="1" fillId="0" borderId="0" xfId="51" applyAlignment="1" quotePrefix="1">
      <alignment horizontal="left"/>
    </xf>
    <xf numFmtId="0" fontId="62" fillId="0" borderId="0" xfId="0" applyNumberFormat="1" applyFont="1" applyFill="1" applyBorder="1" applyAlignment="1">
      <alignment vertical="center"/>
    </xf>
    <xf numFmtId="0" fontId="63" fillId="0" borderId="0" xfId="0" applyNumberFormat="1" applyFont="1" applyFill="1" applyBorder="1" applyAlignment="1">
      <alignment vertical="center"/>
    </xf>
    <xf numFmtId="0" fontId="64" fillId="0" borderId="0" xfId="0" applyNumberFormat="1" applyFont="1" applyFill="1" applyBorder="1" applyAlignment="1">
      <alignment horizontal="left" vertical="center"/>
    </xf>
    <xf numFmtId="0" fontId="65" fillId="43" borderId="0" xfId="0" applyNumberFormat="1" applyFont="1" applyFill="1" applyBorder="1" applyAlignment="1">
      <alignment horizontal="center" vertical="center"/>
    </xf>
    <xf numFmtId="0" fontId="66" fillId="43" borderId="0" xfId="0" applyNumberFormat="1" applyFont="1" applyFill="1" applyBorder="1" applyAlignment="1">
      <alignment horizontal="left" vertical="center"/>
    </xf>
    <xf numFmtId="0" fontId="67" fillId="44" borderId="21" xfId="0" applyNumberFormat="1" applyFont="1" applyFill="1" applyBorder="1" applyAlignment="1">
      <alignment horizontal="center" vertical="center" wrapText="1"/>
    </xf>
    <xf numFmtId="0" fontId="67" fillId="44" borderId="21" xfId="0" applyNumberFormat="1" applyFont="1" applyFill="1" applyBorder="1" applyAlignment="1">
      <alignment horizontal="left" vertical="center"/>
    </xf>
    <xf numFmtId="0" fontId="68" fillId="45" borderId="22" xfId="0" applyNumberFormat="1" applyFont="1" applyFill="1" applyBorder="1" applyAlignment="1">
      <alignment horizontal="left" vertical="center"/>
    </xf>
    <xf numFmtId="201" fontId="68" fillId="45" borderId="22" xfId="0" applyNumberFormat="1" applyFont="1" applyFill="1" applyBorder="1" applyAlignment="1">
      <alignment horizontal="right" vertical="center"/>
    </xf>
    <xf numFmtId="202" fontId="68" fillId="45" borderId="23" xfId="0" applyNumberFormat="1" applyFont="1" applyFill="1" applyBorder="1" applyAlignment="1">
      <alignment horizontal="right" vertical="center"/>
    </xf>
    <xf numFmtId="203" fontId="68" fillId="45" borderId="22" xfId="0" applyNumberFormat="1" applyFont="1" applyFill="1" applyBorder="1" applyAlignment="1">
      <alignment horizontal="right" vertical="center"/>
    </xf>
    <xf numFmtId="0" fontId="68" fillId="46" borderId="24" xfId="0" applyNumberFormat="1" applyFont="1" applyFill="1" applyBorder="1" applyAlignment="1">
      <alignment horizontal="left" vertical="center"/>
    </xf>
    <xf numFmtId="201" fontId="68" fillId="46" borderId="24" xfId="0" applyNumberFormat="1" applyFont="1" applyFill="1" applyBorder="1" applyAlignment="1">
      <alignment horizontal="right" vertical="center"/>
    </xf>
    <xf numFmtId="202" fontId="68" fillId="46" borderId="25" xfId="0" applyNumberFormat="1" applyFont="1" applyFill="1" applyBorder="1" applyAlignment="1">
      <alignment horizontal="right" vertical="center"/>
    </xf>
    <xf numFmtId="203" fontId="68" fillId="46" borderId="24" xfId="0" applyNumberFormat="1" applyFont="1" applyFill="1" applyBorder="1" applyAlignment="1">
      <alignment horizontal="right" vertical="center"/>
    </xf>
    <xf numFmtId="0" fontId="69" fillId="47" borderId="24" xfId="0" applyNumberFormat="1" applyFont="1" applyFill="1" applyBorder="1" applyAlignment="1">
      <alignment horizontal="left" vertical="center"/>
    </xf>
    <xf numFmtId="0" fontId="69" fillId="47" borderId="24" xfId="0" applyNumberFormat="1" applyFont="1" applyFill="1" applyBorder="1" applyAlignment="1">
      <alignment horizontal="left" vertical="center" indent="1"/>
    </xf>
    <xf numFmtId="201" fontId="69" fillId="47" borderId="24" xfId="0" applyNumberFormat="1" applyFont="1" applyFill="1" applyBorder="1" applyAlignment="1">
      <alignment horizontal="right" vertical="center"/>
    </xf>
    <xf numFmtId="202" fontId="69" fillId="47" borderId="25" xfId="0" applyNumberFormat="1" applyFont="1" applyFill="1" applyBorder="1" applyAlignment="1">
      <alignment horizontal="right" vertical="center"/>
    </xf>
    <xf numFmtId="203" fontId="69" fillId="47" borderId="24" xfId="0" applyNumberFormat="1" applyFont="1" applyFill="1" applyBorder="1" applyAlignment="1">
      <alignment horizontal="right" vertical="center"/>
    </xf>
    <xf numFmtId="0" fontId="63" fillId="0" borderId="24" xfId="0" applyNumberFormat="1" applyFont="1" applyFill="1" applyBorder="1" applyAlignment="1">
      <alignment horizontal="left" vertical="center"/>
    </xf>
    <xf numFmtId="0" fontId="63" fillId="0" borderId="24" xfId="0" applyNumberFormat="1" applyFont="1" applyFill="1" applyBorder="1" applyAlignment="1">
      <alignment horizontal="left" vertical="center" indent="2"/>
    </xf>
    <xf numFmtId="0" fontId="70" fillId="0" borderId="24" xfId="0" applyNumberFormat="1" applyFont="1" applyFill="1" applyBorder="1" applyAlignment="1">
      <alignment horizontal="left" vertical="center"/>
    </xf>
    <xf numFmtId="201" fontId="63" fillId="0" borderId="24" xfId="0" applyNumberFormat="1" applyFont="1" applyFill="1" applyBorder="1" applyAlignment="1">
      <alignment horizontal="right" vertical="center"/>
    </xf>
    <xf numFmtId="202" fontId="63" fillId="0" borderId="25" xfId="0" applyNumberFormat="1" applyFont="1" applyFill="1" applyBorder="1" applyAlignment="1">
      <alignment horizontal="right" vertical="center"/>
    </xf>
    <xf numFmtId="203" fontId="63" fillId="0" borderId="24" xfId="0" applyNumberFormat="1" applyFont="1" applyFill="1" applyBorder="1" applyAlignment="1">
      <alignment horizontal="right" vertical="center"/>
    </xf>
    <xf numFmtId="0" fontId="69" fillId="0" borderId="24" xfId="0" applyNumberFormat="1" applyFont="1" applyFill="1" applyBorder="1" applyAlignment="1">
      <alignment horizontal="left" vertical="center"/>
    </xf>
    <xf numFmtId="0" fontId="69" fillId="0" borderId="24" xfId="0" applyNumberFormat="1" applyFont="1" applyFill="1" applyBorder="1" applyAlignment="1">
      <alignment horizontal="left" vertical="center" indent="1"/>
    </xf>
    <xf numFmtId="201" fontId="69" fillId="0" borderId="24" xfId="0" applyNumberFormat="1" applyFont="1" applyFill="1" applyBorder="1" applyAlignment="1">
      <alignment horizontal="right" vertical="center"/>
    </xf>
    <xf numFmtId="202" fontId="69" fillId="0" borderId="25" xfId="0" applyNumberFormat="1" applyFont="1" applyFill="1" applyBorder="1" applyAlignment="1">
      <alignment horizontal="right" vertical="center"/>
    </xf>
    <xf numFmtId="203" fontId="69" fillId="0" borderId="24" xfId="0" applyNumberFormat="1" applyFont="1" applyFill="1" applyBorder="1" applyAlignment="1">
      <alignment horizontal="right" vertical="center"/>
    </xf>
    <xf numFmtId="0" fontId="68" fillId="47" borderId="24" xfId="0" applyNumberFormat="1" applyFont="1" applyFill="1" applyBorder="1" applyAlignment="1">
      <alignment horizontal="left" vertical="center"/>
    </xf>
    <xf numFmtId="201" fontId="68" fillId="47" borderId="24" xfId="0" applyNumberFormat="1" applyFont="1" applyFill="1" applyBorder="1" applyAlignment="1">
      <alignment horizontal="right" vertical="center"/>
    </xf>
    <xf numFmtId="202" fontId="68" fillId="47" borderId="25" xfId="0" applyNumberFormat="1" applyFont="1" applyFill="1" applyBorder="1" applyAlignment="1">
      <alignment horizontal="right" vertical="center"/>
    </xf>
    <xf numFmtId="203" fontId="68" fillId="47" borderId="24" xfId="0" applyNumberFormat="1" applyFont="1" applyFill="1" applyBorder="1" applyAlignment="1">
      <alignment horizontal="right" vertical="center"/>
    </xf>
    <xf numFmtId="0" fontId="63" fillId="0" borderId="24" xfId="0" applyNumberFormat="1" applyFont="1" applyFill="1" applyBorder="1" applyAlignment="1">
      <alignment horizontal="left" vertical="center" indent="1"/>
    </xf>
    <xf numFmtId="0" fontId="70" fillId="0" borderId="24" xfId="0" applyNumberFormat="1" applyFont="1" applyFill="1" applyBorder="1" applyAlignment="1">
      <alignment horizontal="left" vertical="center" indent="1"/>
    </xf>
    <xf numFmtId="0" fontId="68" fillId="0" borderId="24" xfId="0" applyNumberFormat="1" applyFont="1" applyFill="1" applyBorder="1" applyAlignment="1">
      <alignment horizontal="left" vertical="center"/>
    </xf>
    <xf numFmtId="201" fontId="68" fillId="0" borderId="24" xfId="0" applyNumberFormat="1" applyFont="1" applyFill="1" applyBorder="1" applyAlignment="1">
      <alignment horizontal="right" vertical="center"/>
    </xf>
    <xf numFmtId="202" fontId="68" fillId="0" borderId="25" xfId="0" applyNumberFormat="1" applyFont="1" applyFill="1" applyBorder="1" applyAlignment="1">
      <alignment horizontal="right" vertical="center"/>
    </xf>
    <xf numFmtId="203" fontId="68" fillId="0" borderId="24" xfId="0" applyNumberFormat="1" applyFont="1" applyFill="1" applyBorder="1" applyAlignment="1">
      <alignment horizontal="right" vertical="center"/>
    </xf>
    <xf numFmtId="0" fontId="63" fillId="0" borderId="26" xfId="0" applyNumberFormat="1" applyFont="1" applyFill="1" applyBorder="1" applyAlignment="1">
      <alignment horizontal="left" vertical="center"/>
    </xf>
    <xf numFmtId="0" fontId="63" fillId="0" borderId="26" xfId="0" applyNumberFormat="1" applyFont="1" applyFill="1" applyBorder="1" applyAlignment="1">
      <alignment horizontal="left" vertical="center" indent="1"/>
    </xf>
    <xf numFmtId="0" fontId="70" fillId="0" borderId="26" xfId="0" applyNumberFormat="1" applyFont="1" applyFill="1" applyBorder="1" applyAlignment="1">
      <alignment horizontal="left" vertical="center"/>
    </xf>
    <xf numFmtId="201" fontId="63" fillId="0" borderId="26" xfId="0" applyNumberFormat="1" applyFont="1" applyFill="1" applyBorder="1" applyAlignment="1">
      <alignment horizontal="right" vertical="center"/>
    </xf>
    <xf numFmtId="202" fontId="63" fillId="0" borderId="27" xfId="0" applyNumberFormat="1" applyFont="1" applyFill="1" applyBorder="1" applyAlignment="1">
      <alignment horizontal="right" vertical="center"/>
    </xf>
    <xf numFmtId="203" fontId="63" fillId="0" borderId="26" xfId="0" applyNumberFormat="1" applyFont="1" applyFill="1" applyBorder="1" applyAlignment="1">
      <alignment horizontal="right" vertical="center"/>
    </xf>
    <xf numFmtId="0" fontId="71" fillId="0" borderId="0" xfId="0" applyNumberFormat="1" applyFont="1" applyFill="1" applyBorder="1" applyAlignment="1">
      <alignment horizontal="left" vertical="top"/>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omma 3" xfId="50"/>
    <cellStyle name="Normal 2" xfId="51"/>
    <cellStyle name="Normal 3" xfId="52"/>
    <cellStyle name="Percent 2" xfId="53"/>
    <cellStyle name="Percent 3"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2200" b="1" i="0" u="none" strike="noStrike" baseline="0">
                <a:solidFill>
                  <a:srgbClr val="000000"/>
                </a:solidFill>
                <a:latin typeface="Times New Roman" panose="02020503050405090304" pitchFamily="12"/>
                <a:cs typeface="Times New Roman" panose="02020503050405090304" pitchFamily="12"/>
              </a:rPr>
              <a:t>Domestic Loans by Economic Sector</a:t>
            </a:r>
            <a:endParaRPr lang="en-GB" sz="2200" b="1" i="0" u="none" strike="noStrike" baseline="0">
              <a:solidFill>
                <a:srgbClr val="000000"/>
              </a:solidFill>
              <a:latin typeface="Times New Roman" panose="02020503050405090304" pitchFamily="12"/>
              <a:cs typeface="Times New Roman" panose="02020503050405090304" pitchFamily="12"/>
            </a:endParaRPr>
          </a:p>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2200" b="1" i="0" u="none" strike="noStrike" baseline="0">
                <a:solidFill>
                  <a:srgbClr val="000000"/>
                </a:solidFill>
                <a:latin typeface="細明體"/>
                <a:ea typeface="細明體"/>
              </a:rPr>
              <a:t>按主要經濟行業劃分的本地貸款</a:t>
            </a:r>
            <a:endParaRPr lang="en-GB" sz="2200" b="1" i="0" u="none" strike="noStrike" baseline="0">
              <a:solidFill>
                <a:srgbClr val="000000"/>
              </a:solidFill>
              <a:latin typeface="細明體"/>
              <a:ea typeface="細明體"/>
            </a:endParaRPr>
          </a:p>
        </c:rich>
      </c:tx>
      <c:layout>
        <c:manualLayout>
          <c:xMode val="edge"/>
          <c:yMode val="edge"/>
          <c:x val="0.283347261925218"/>
          <c:y val="0.00135841840452884"/>
        </c:manualLayout>
      </c:layout>
      <c:overlay val="0"/>
      <c:spPr>
        <a:noFill/>
        <a:ln w="25400">
          <a:noFill/>
        </a:ln>
      </c:spPr>
    </c:title>
    <c:autoTitleDeleted val="0"/>
    <c:plotArea>
      <c:layout>
        <c:manualLayout>
          <c:layoutTarget val="inner"/>
          <c:xMode val="edge"/>
          <c:yMode val="edge"/>
          <c:x val="0.046535677352637"/>
          <c:y val="0.137864414908718"/>
          <c:w val="0.906928645294726"/>
          <c:h val="0.700535770821849"/>
        </c:manualLayout>
      </c:layout>
      <c:lineChart>
        <c:grouping val="standard"/>
        <c:varyColors val="0"/>
        <c:ser>
          <c:idx val="4"/>
          <c:order val="0"/>
          <c:tx>
            <c:strRef>
              <c:f>"Property lending* 物業貸款*"</c:f>
              <c:strCache>
                <c:ptCount val="1"/>
                <c:pt idx="0">
                  <c:v>Property lending* 物業貸款*</c:v>
                </c:pt>
              </c:strCache>
            </c:strRef>
          </c:tx>
          <c:spPr>
            <a:ln w="12700" cap="rnd" cmpd="sng" algn="ctr">
              <a:solidFill>
                <a:srgbClr val="008000"/>
              </a:solidFill>
              <a:prstDash val="solid"/>
              <a:round/>
            </a:ln>
          </c:spPr>
          <c:marker>
            <c:symbol val="none"/>
          </c:marker>
          <c:dLbls>
            <c:delete val="1"/>
          </c:dLbls>
          <c:cat>
            <c:numRef>
              <c:f>[3]Xaxis!$E$44:$E$95</c:f>
              <c:numCache>
                <c:formatCode>General</c:formatCode>
                <c:ptCount val="52"/>
                <c:pt idx="0">
                  <c:v>41685</c:v>
                </c:pt>
                <c:pt idx="1">
                  <c:v>41774</c:v>
                </c:pt>
                <c:pt idx="2">
                  <c:v>41866</c:v>
                </c:pt>
                <c:pt idx="3">
                  <c:v>41958</c:v>
                </c:pt>
                <c:pt idx="4">
                  <c:v>42050</c:v>
                </c:pt>
                <c:pt idx="5">
                  <c:v>42139</c:v>
                </c:pt>
                <c:pt idx="6">
                  <c:v>42231</c:v>
                </c:pt>
                <c:pt idx="7">
                  <c:v>42323</c:v>
                </c:pt>
                <c:pt idx="8">
                  <c:v>42415</c:v>
                </c:pt>
                <c:pt idx="9">
                  <c:v>42505</c:v>
                </c:pt>
                <c:pt idx="10">
                  <c:v>42597</c:v>
                </c:pt>
                <c:pt idx="11">
                  <c:v>42689</c:v>
                </c:pt>
                <c:pt idx="12">
                  <c:v>42781</c:v>
                </c:pt>
                <c:pt idx="13">
                  <c:v>42870</c:v>
                </c:pt>
                <c:pt idx="14">
                  <c:v>42962</c:v>
                </c:pt>
                <c:pt idx="15">
                  <c:v>43054</c:v>
                </c:pt>
                <c:pt idx="16">
                  <c:v>43146</c:v>
                </c:pt>
                <c:pt idx="17">
                  <c:v>43235</c:v>
                </c:pt>
                <c:pt idx="18">
                  <c:v>43327</c:v>
                </c:pt>
                <c:pt idx="19">
                  <c:v>43419</c:v>
                </c:pt>
                <c:pt idx="20">
                  <c:v>43511</c:v>
                </c:pt>
                <c:pt idx="21">
                  <c:v>43600</c:v>
                </c:pt>
                <c:pt idx="22">
                  <c:v>43692</c:v>
                </c:pt>
                <c:pt idx="23">
                  <c:v>43784</c:v>
                </c:pt>
                <c:pt idx="24">
                  <c:v>43876</c:v>
                </c:pt>
                <c:pt idx="25">
                  <c:v>43966</c:v>
                </c:pt>
                <c:pt idx="26">
                  <c:v>44058</c:v>
                </c:pt>
                <c:pt idx="27">
                  <c:v>44150</c:v>
                </c:pt>
                <c:pt idx="28">
                  <c:v>44242</c:v>
                </c:pt>
                <c:pt idx="29">
                  <c:v>44331</c:v>
                </c:pt>
                <c:pt idx="30">
                  <c:v>44423</c:v>
                </c:pt>
                <c:pt idx="31">
                  <c:v>44515</c:v>
                </c:pt>
                <c:pt idx="32">
                  <c:v>44607</c:v>
                </c:pt>
                <c:pt idx="33">
                  <c:v>44696</c:v>
                </c:pt>
                <c:pt idx="34">
                  <c:v>44788</c:v>
                </c:pt>
                <c:pt idx="35">
                  <c:v>44880</c:v>
                </c:pt>
                <c:pt idx="36">
                  <c:v>44972</c:v>
                </c:pt>
                <c:pt idx="37">
                  <c:v>45061</c:v>
                </c:pt>
                <c:pt idx="38">
                  <c:v>45153</c:v>
                </c:pt>
                <c:pt idx="39">
                  <c:v>45245</c:v>
                </c:pt>
                <c:pt idx="40">
                  <c:v>45337</c:v>
                </c:pt>
                <c:pt idx="41">
                  <c:v>45427</c:v>
                </c:pt>
                <c:pt idx="42">
                  <c:v>45519</c:v>
                </c:pt>
                <c:pt idx="43">
                  <c:v>45611</c:v>
                </c:pt>
                <c:pt idx="44">
                  <c:v>45703</c:v>
                </c:pt>
                <c:pt idx="45">
                  <c:v>45792</c:v>
                </c:pt>
                <c:pt idx="46">
                  <c:v>45884</c:v>
                </c:pt>
                <c:pt idx="47">
                  <c:v>45976</c:v>
                </c:pt>
                <c:pt idx="48">
                  <c:v>46068</c:v>
                </c:pt>
                <c:pt idx="49">
                  <c:v>46157</c:v>
                </c:pt>
                <c:pt idx="50">
                  <c:v>46249</c:v>
                </c:pt>
                <c:pt idx="51">
                  <c:v>46341</c:v>
                </c:pt>
              </c:numCache>
            </c:numRef>
          </c:cat>
          <c:val>
            <c:numRef>
              <c:f>[3]Data!$I$48:$I$99</c:f>
              <c:numCache>
                <c:formatCode>General</c:formatCode>
                <c:ptCount val="52"/>
                <c:pt idx="0">
                  <c:v>6.9</c:v>
                </c:pt>
                <c:pt idx="1">
                  <c:v>5.7</c:v>
                </c:pt>
                <c:pt idx="2">
                  <c:v>4.9</c:v>
                </c:pt>
                <c:pt idx="3">
                  <c:v>7.4</c:v>
                </c:pt>
                <c:pt idx="4">
                  <c:v>7.7</c:v>
                </c:pt>
                <c:pt idx="5">
                  <c:v>8.8</c:v>
                </c:pt>
                <c:pt idx="6">
                  <c:v>10.2</c:v>
                </c:pt>
                <c:pt idx="7">
                  <c:v>8.2</c:v>
                </c:pt>
                <c:pt idx="8">
                  <c:v>7.8</c:v>
                </c:pt>
                <c:pt idx="9">
                  <c:v>5.6</c:v>
                </c:pt>
                <c:pt idx="10">
                  <c:v>4</c:v>
                </c:pt>
                <c:pt idx="11">
                  <c:v>7.5</c:v>
                </c:pt>
                <c:pt idx="12">
                  <c:v>10.1</c:v>
                </c:pt>
                <c:pt idx="13">
                  <c:v>13.1</c:v>
                </c:pt>
                <c:pt idx="14">
                  <c:v>14.9</c:v>
                </c:pt>
                <c:pt idx="15">
                  <c:v>13.3</c:v>
                </c:pt>
                <c:pt idx="16">
                  <c:v>11.5</c:v>
                </c:pt>
                <c:pt idx="17">
                  <c:v>7.4</c:v>
                </c:pt>
                <c:pt idx="18">
                  <c:v>7.1</c:v>
                </c:pt>
                <c:pt idx="19">
                  <c:v>5.93874067047602</c:v>
                </c:pt>
                <c:pt idx="20">
                  <c:v>4.89255774407036</c:v>
                </c:pt>
                <c:pt idx="21">
                  <c:v>7.28166921319544</c:v>
                </c:pt>
                <c:pt idx="22">
                  <c:v>6.37354757697719</c:v>
                </c:pt>
                <c:pt idx="23">
                  <c:v>7.75103126954792</c:v>
                </c:pt>
                <c:pt idx="24">
                  <c:v>8.5001158642098</c:v>
                </c:pt>
                <c:pt idx="25">
                  <c:v>5.45877861738894</c:v>
                </c:pt>
                <c:pt idx="26">
                  <c:v>4.19621269077912</c:v>
                </c:pt>
                <c:pt idx="27">
                  <c:v>3.68325220020031</c:v>
                </c:pt>
                <c:pt idx="28">
                  <c:v>4.05142793089064</c:v>
                </c:pt>
                <c:pt idx="29">
                  <c:v>6.4227029961387</c:v>
                </c:pt>
                <c:pt idx="30">
                  <c:v>6.63867570039052</c:v>
                </c:pt>
                <c:pt idx="31">
                  <c:v>7.7684400124503</c:v>
                </c:pt>
                <c:pt idx="32">
                  <c:v>6.93659101570749</c:v>
                </c:pt>
                <c:pt idx="33">
                  <c:v>5.04138502672882</c:v>
                </c:pt>
                <c:pt idx="34">
                  <c:v>4.12957257162691</c:v>
                </c:pt>
                <c:pt idx="35">
                  <c:v>2.05720666193285</c:v>
                </c:pt>
                <c:pt idx="36">
                  <c:v>1.61127301488176</c:v>
                </c:pt>
                <c:pt idx="37">
                  <c:v>1.40745704558502</c:v>
                </c:pt>
                <c:pt idx="38">
                  <c:v>0.479509988333461</c:v>
                </c:pt>
                <c:pt idx="39">
                  <c:v>-0.092373383428864</c:v>
                </c:pt>
                <c:pt idx="40">
                  <c:v>-1.61433739697048</c:v>
                </c:pt>
                <c:pt idx="41">
                  <c:v>-2.36487425232298</c:v>
                </c:pt>
                <c:pt idx="42">
                  <c:v>-2.47993215478395</c:v>
                </c:pt>
                <c:pt idx="43">
                  <c:v>-3.19847413182192</c:v>
                </c:pt>
                <c:pt idx="44">
                  <c:v>-3.8861701035424</c:v>
                </c:pt>
                <c:pt idx="45">
                  <c:v>-2.53985996596808</c:v>
                </c:pt>
                <c:pt idx="46">
                  <c:v>-3.03674327382564</c:v>
                </c:pt>
                <c:pt idx="47">
                  <c:v>-2.05486668009728</c:v>
                </c:pt>
                <c:pt idx="48">
                  <c:v>-1.49957803849406</c:v>
                </c:pt>
                <c:pt idx="49">
                  <c:v>-1.88566445091848</c:v>
                </c:pt>
              </c:numCache>
            </c:numRef>
          </c:val>
          <c:smooth val="0"/>
        </c:ser>
        <c:ser>
          <c:idx val="2"/>
          <c:order val="1"/>
          <c:tx>
            <c:strRef>
              <c:f>"Manufacturing 製造業"</c:f>
              <c:strCache>
                <c:ptCount val="1"/>
                <c:pt idx="0">
                  <c:v>Manufacturing 製造業</c:v>
                </c:pt>
              </c:strCache>
            </c:strRef>
          </c:tx>
          <c:spPr>
            <a:ln w="25400" cap="rnd" cmpd="sng" algn="ctr">
              <a:solidFill>
                <a:srgbClr val="000000"/>
              </a:solidFill>
              <a:prstDash val="sysDash"/>
              <a:round/>
            </a:ln>
          </c:spPr>
          <c:marker>
            <c:symbol val="none"/>
          </c:marker>
          <c:dLbls>
            <c:delete val="1"/>
          </c:dLbls>
          <c:cat>
            <c:numRef>
              <c:f>[3]Xaxis!$E$44:$E$95</c:f>
              <c:numCache>
                <c:formatCode>General</c:formatCode>
                <c:ptCount val="52"/>
                <c:pt idx="0">
                  <c:v>41685</c:v>
                </c:pt>
                <c:pt idx="1">
                  <c:v>41774</c:v>
                </c:pt>
                <c:pt idx="2">
                  <c:v>41866</c:v>
                </c:pt>
                <c:pt idx="3">
                  <c:v>41958</c:v>
                </c:pt>
                <c:pt idx="4">
                  <c:v>42050</c:v>
                </c:pt>
                <c:pt idx="5">
                  <c:v>42139</c:v>
                </c:pt>
                <c:pt idx="6">
                  <c:v>42231</c:v>
                </c:pt>
                <c:pt idx="7">
                  <c:v>42323</c:v>
                </c:pt>
                <c:pt idx="8">
                  <c:v>42415</c:v>
                </c:pt>
                <c:pt idx="9">
                  <c:v>42505</c:v>
                </c:pt>
                <c:pt idx="10">
                  <c:v>42597</c:v>
                </c:pt>
                <c:pt idx="11">
                  <c:v>42689</c:v>
                </c:pt>
                <c:pt idx="12">
                  <c:v>42781</c:v>
                </c:pt>
                <c:pt idx="13">
                  <c:v>42870</c:v>
                </c:pt>
                <c:pt idx="14">
                  <c:v>42962</c:v>
                </c:pt>
                <c:pt idx="15">
                  <c:v>43054</c:v>
                </c:pt>
                <c:pt idx="16">
                  <c:v>43146</c:v>
                </c:pt>
                <c:pt idx="17">
                  <c:v>43235</c:v>
                </c:pt>
                <c:pt idx="18">
                  <c:v>43327</c:v>
                </c:pt>
                <c:pt idx="19">
                  <c:v>43419</c:v>
                </c:pt>
                <c:pt idx="20">
                  <c:v>43511</c:v>
                </c:pt>
                <c:pt idx="21">
                  <c:v>43600</c:v>
                </c:pt>
                <c:pt idx="22">
                  <c:v>43692</c:v>
                </c:pt>
                <c:pt idx="23">
                  <c:v>43784</c:v>
                </c:pt>
                <c:pt idx="24">
                  <c:v>43876</c:v>
                </c:pt>
                <c:pt idx="25">
                  <c:v>43966</c:v>
                </c:pt>
                <c:pt idx="26">
                  <c:v>44058</c:v>
                </c:pt>
                <c:pt idx="27">
                  <c:v>44150</c:v>
                </c:pt>
                <c:pt idx="28">
                  <c:v>44242</c:v>
                </c:pt>
                <c:pt idx="29">
                  <c:v>44331</c:v>
                </c:pt>
                <c:pt idx="30">
                  <c:v>44423</c:v>
                </c:pt>
                <c:pt idx="31">
                  <c:v>44515</c:v>
                </c:pt>
                <c:pt idx="32">
                  <c:v>44607</c:v>
                </c:pt>
                <c:pt idx="33">
                  <c:v>44696</c:v>
                </c:pt>
                <c:pt idx="34">
                  <c:v>44788</c:v>
                </c:pt>
                <c:pt idx="35">
                  <c:v>44880</c:v>
                </c:pt>
                <c:pt idx="36">
                  <c:v>44972</c:v>
                </c:pt>
                <c:pt idx="37">
                  <c:v>45061</c:v>
                </c:pt>
                <c:pt idx="38">
                  <c:v>45153</c:v>
                </c:pt>
                <c:pt idx="39">
                  <c:v>45245</c:v>
                </c:pt>
                <c:pt idx="40">
                  <c:v>45337</c:v>
                </c:pt>
                <c:pt idx="41">
                  <c:v>45427</c:v>
                </c:pt>
                <c:pt idx="42">
                  <c:v>45519</c:v>
                </c:pt>
                <c:pt idx="43">
                  <c:v>45611</c:v>
                </c:pt>
                <c:pt idx="44">
                  <c:v>45703</c:v>
                </c:pt>
                <c:pt idx="45">
                  <c:v>45792</c:v>
                </c:pt>
                <c:pt idx="46">
                  <c:v>45884</c:v>
                </c:pt>
                <c:pt idx="47">
                  <c:v>45976</c:v>
                </c:pt>
                <c:pt idx="48">
                  <c:v>46068</c:v>
                </c:pt>
                <c:pt idx="49">
                  <c:v>46157</c:v>
                </c:pt>
                <c:pt idx="50">
                  <c:v>46249</c:v>
                </c:pt>
                <c:pt idx="51">
                  <c:v>46341</c:v>
                </c:pt>
              </c:numCache>
            </c:numRef>
          </c:cat>
          <c:val>
            <c:numRef>
              <c:f>[3]Data!$H$48:$H$99</c:f>
              <c:numCache>
                <c:formatCode>General</c:formatCode>
                <c:ptCount val="52"/>
                <c:pt idx="0">
                  <c:v>23.4</c:v>
                </c:pt>
                <c:pt idx="1">
                  <c:v>20.4</c:v>
                </c:pt>
                <c:pt idx="2">
                  <c:v>23.7</c:v>
                </c:pt>
                <c:pt idx="3">
                  <c:v>22.8</c:v>
                </c:pt>
                <c:pt idx="4">
                  <c:v>10</c:v>
                </c:pt>
                <c:pt idx="5">
                  <c:v>3</c:v>
                </c:pt>
                <c:pt idx="6">
                  <c:v>-4</c:v>
                </c:pt>
                <c:pt idx="7">
                  <c:v>-8.2</c:v>
                </c:pt>
                <c:pt idx="8">
                  <c:v>-7.4</c:v>
                </c:pt>
                <c:pt idx="9">
                  <c:v>0.9</c:v>
                </c:pt>
                <c:pt idx="10">
                  <c:v>-3.5</c:v>
                </c:pt>
                <c:pt idx="11">
                  <c:v>1.1</c:v>
                </c:pt>
                <c:pt idx="12">
                  <c:v>9</c:v>
                </c:pt>
                <c:pt idx="13">
                  <c:v>5.5</c:v>
                </c:pt>
                <c:pt idx="14">
                  <c:v>15.6</c:v>
                </c:pt>
                <c:pt idx="15">
                  <c:v>18.8</c:v>
                </c:pt>
                <c:pt idx="16">
                  <c:v>17.3</c:v>
                </c:pt>
                <c:pt idx="17">
                  <c:v>22.1</c:v>
                </c:pt>
                <c:pt idx="18">
                  <c:v>11.6</c:v>
                </c:pt>
                <c:pt idx="19">
                  <c:v>8.48009037465465</c:v>
                </c:pt>
                <c:pt idx="20">
                  <c:v>3.77995296211897</c:v>
                </c:pt>
                <c:pt idx="21">
                  <c:v>-3.32460835115197</c:v>
                </c:pt>
                <c:pt idx="22">
                  <c:v>-1.58002334466396</c:v>
                </c:pt>
                <c:pt idx="23">
                  <c:v>0.587400702674117</c:v>
                </c:pt>
                <c:pt idx="24">
                  <c:v>8.75007733140968</c:v>
                </c:pt>
                <c:pt idx="25">
                  <c:v>1.04818267801437</c:v>
                </c:pt>
                <c:pt idx="26">
                  <c:v>0.313355621001918</c:v>
                </c:pt>
                <c:pt idx="27">
                  <c:v>1.67543988009891</c:v>
                </c:pt>
                <c:pt idx="28">
                  <c:v>-0.512285586389439</c:v>
                </c:pt>
                <c:pt idx="29">
                  <c:v>1.85728154620573</c:v>
                </c:pt>
                <c:pt idx="30">
                  <c:v>5.72964934573217</c:v>
                </c:pt>
                <c:pt idx="31">
                  <c:v>2.0893076809804</c:v>
                </c:pt>
                <c:pt idx="32">
                  <c:v>3.68057972050586</c:v>
                </c:pt>
                <c:pt idx="33">
                  <c:v>4.48184243368503</c:v>
                </c:pt>
                <c:pt idx="34">
                  <c:v>6.37264163333811</c:v>
                </c:pt>
                <c:pt idx="35">
                  <c:v>-0.109073836565273</c:v>
                </c:pt>
                <c:pt idx="36">
                  <c:v>-2.06698374335313</c:v>
                </c:pt>
                <c:pt idx="37">
                  <c:v>-4.89099749045108</c:v>
                </c:pt>
                <c:pt idx="38">
                  <c:v>-12.2752618018762</c:v>
                </c:pt>
                <c:pt idx="39">
                  <c:v>-4.47112610346917</c:v>
                </c:pt>
                <c:pt idx="40">
                  <c:v>-7.53146483657477</c:v>
                </c:pt>
                <c:pt idx="41">
                  <c:v>-6.51636227878831</c:v>
                </c:pt>
                <c:pt idx="42">
                  <c:v>-1.08402417548314</c:v>
                </c:pt>
                <c:pt idx="43">
                  <c:v>-1.14254624300361</c:v>
                </c:pt>
                <c:pt idx="44">
                  <c:v>3.39189173707153</c:v>
                </c:pt>
                <c:pt idx="45">
                  <c:v>11.3604111973168</c:v>
                </c:pt>
                <c:pt idx="46">
                  <c:v>8.38346807894077</c:v>
                </c:pt>
                <c:pt idx="47">
                  <c:v>3.88439069521516</c:v>
                </c:pt>
                <c:pt idx="48">
                  <c:v>5.83838852293572</c:v>
                </c:pt>
                <c:pt idx="49">
                  <c:v>11.9318829086043</c:v>
                </c:pt>
              </c:numCache>
            </c:numRef>
          </c:val>
          <c:smooth val="0"/>
        </c:ser>
        <c:ser>
          <c:idx val="1"/>
          <c:order val="2"/>
          <c:tx>
            <c:strRef>
              <c:f>"Trade financing 貿易融資"</c:f>
              <c:strCache>
                <c:ptCount val="1"/>
                <c:pt idx="0">
                  <c:v>Trade financing 貿易融資</c:v>
                </c:pt>
              </c:strCache>
            </c:strRef>
          </c:tx>
          <c:spPr>
            <a:ln w="38100" cap="rnd" cmpd="sng" algn="ctr">
              <a:solidFill>
                <a:srgbClr val="FF0000"/>
              </a:solidFill>
              <a:prstDash val="solid"/>
              <a:round/>
            </a:ln>
          </c:spPr>
          <c:marker>
            <c:symbol val="none"/>
          </c:marker>
          <c:dLbls>
            <c:delete val="1"/>
          </c:dLbls>
          <c:cat>
            <c:numRef>
              <c:f>[3]Xaxis!$E$44:$E$95</c:f>
              <c:numCache>
                <c:formatCode>General</c:formatCode>
                <c:ptCount val="52"/>
                <c:pt idx="0">
                  <c:v>41685</c:v>
                </c:pt>
                <c:pt idx="1">
                  <c:v>41774</c:v>
                </c:pt>
                <c:pt idx="2">
                  <c:v>41866</c:v>
                </c:pt>
                <c:pt idx="3">
                  <c:v>41958</c:v>
                </c:pt>
                <c:pt idx="4">
                  <c:v>42050</c:v>
                </c:pt>
                <c:pt idx="5">
                  <c:v>42139</c:v>
                </c:pt>
                <c:pt idx="6">
                  <c:v>42231</c:v>
                </c:pt>
                <c:pt idx="7">
                  <c:v>42323</c:v>
                </c:pt>
                <c:pt idx="8">
                  <c:v>42415</c:v>
                </c:pt>
                <c:pt idx="9">
                  <c:v>42505</c:v>
                </c:pt>
                <c:pt idx="10">
                  <c:v>42597</c:v>
                </c:pt>
                <c:pt idx="11">
                  <c:v>42689</c:v>
                </c:pt>
                <c:pt idx="12">
                  <c:v>42781</c:v>
                </c:pt>
                <c:pt idx="13">
                  <c:v>42870</c:v>
                </c:pt>
                <c:pt idx="14">
                  <c:v>42962</c:v>
                </c:pt>
                <c:pt idx="15">
                  <c:v>43054</c:v>
                </c:pt>
                <c:pt idx="16">
                  <c:v>43146</c:v>
                </c:pt>
                <c:pt idx="17">
                  <c:v>43235</c:v>
                </c:pt>
                <c:pt idx="18">
                  <c:v>43327</c:v>
                </c:pt>
                <c:pt idx="19">
                  <c:v>43419</c:v>
                </c:pt>
                <c:pt idx="20">
                  <c:v>43511</c:v>
                </c:pt>
                <c:pt idx="21">
                  <c:v>43600</c:v>
                </c:pt>
                <c:pt idx="22">
                  <c:v>43692</c:v>
                </c:pt>
                <c:pt idx="23">
                  <c:v>43784</c:v>
                </c:pt>
                <c:pt idx="24">
                  <c:v>43876</c:v>
                </c:pt>
                <c:pt idx="25">
                  <c:v>43966</c:v>
                </c:pt>
                <c:pt idx="26">
                  <c:v>44058</c:v>
                </c:pt>
                <c:pt idx="27">
                  <c:v>44150</c:v>
                </c:pt>
                <c:pt idx="28">
                  <c:v>44242</c:v>
                </c:pt>
                <c:pt idx="29">
                  <c:v>44331</c:v>
                </c:pt>
                <c:pt idx="30">
                  <c:v>44423</c:v>
                </c:pt>
                <c:pt idx="31">
                  <c:v>44515</c:v>
                </c:pt>
                <c:pt idx="32">
                  <c:v>44607</c:v>
                </c:pt>
                <c:pt idx="33">
                  <c:v>44696</c:v>
                </c:pt>
                <c:pt idx="34">
                  <c:v>44788</c:v>
                </c:pt>
                <c:pt idx="35">
                  <c:v>44880</c:v>
                </c:pt>
                <c:pt idx="36">
                  <c:v>44972</c:v>
                </c:pt>
                <c:pt idx="37">
                  <c:v>45061</c:v>
                </c:pt>
                <c:pt idx="38">
                  <c:v>45153</c:v>
                </c:pt>
                <c:pt idx="39">
                  <c:v>45245</c:v>
                </c:pt>
                <c:pt idx="40">
                  <c:v>45337</c:v>
                </c:pt>
                <c:pt idx="41">
                  <c:v>45427</c:v>
                </c:pt>
                <c:pt idx="42">
                  <c:v>45519</c:v>
                </c:pt>
                <c:pt idx="43">
                  <c:v>45611</c:v>
                </c:pt>
                <c:pt idx="44">
                  <c:v>45703</c:v>
                </c:pt>
                <c:pt idx="45">
                  <c:v>45792</c:v>
                </c:pt>
                <c:pt idx="46">
                  <c:v>45884</c:v>
                </c:pt>
                <c:pt idx="47">
                  <c:v>45976</c:v>
                </c:pt>
                <c:pt idx="48">
                  <c:v>46068</c:v>
                </c:pt>
                <c:pt idx="49">
                  <c:v>46157</c:v>
                </c:pt>
                <c:pt idx="50">
                  <c:v>46249</c:v>
                </c:pt>
                <c:pt idx="51">
                  <c:v>46341</c:v>
                </c:pt>
              </c:numCache>
            </c:numRef>
          </c:cat>
          <c:val>
            <c:numRef>
              <c:f>[3]Data!$K$48:$K$99</c:f>
              <c:numCache>
                <c:formatCode>General</c:formatCode>
                <c:ptCount val="52"/>
                <c:pt idx="0">
                  <c:v>35.4</c:v>
                </c:pt>
                <c:pt idx="1">
                  <c:v>11.9</c:v>
                </c:pt>
                <c:pt idx="2">
                  <c:v>4</c:v>
                </c:pt>
                <c:pt idx="3">
                  <c:v>-1.4</c:v>
                </c:pt>
                <c:pt idx="4">
                  <c:v>-8.5</c:v>
                </c:pt>
                <c:pt idx="5">
                  <c:v>-10</c:v>
                </c:pt>
                <c:pt idx="6">
                  <c:v>-20.7</c:v>
                </c:pt>
                <c:pt idx="7">
                  <c:v>-16.3</c:v>
                </c:pt>
                <c:pt idx="8">
                  <c:v>-20.9</c:v>
                </c:pt>
                <c:pt idx="9">
                  <c:v>-17</c:v>
                </c:pt>
                <c:pt idx="10">
                  <c:v>-7.1</c:v>
                </c:pt>
                <c:pt idx="11">
                  <c:v>0.2</c:v>
                </c:pt>
                <c:pt idx="12">
                  <c:v>4.3</c:v>
                </c:pt>
                <c:pt idx="13">
                  <c:v>3</c:v>
                </c:pt>
                <c:pt idx="14">
                  <c:v>8.5</c:v>
                </c:pt>
                <c:pt idx="15">
                  <c:v>8.7</c:v>
                </c:pt>
                <c:pt idx="16">
                  <c:v>11.9</c:v>
                </c:pt>
                <c:pt idx="17">
                  <c:v>12.7</c:v>
                </c:pt>
                <c:pt idx="18">
                  <c:v>-0.6</c:v>
                </c:pt>
                <c:pt idx="19">
                  <c:v>-7.59179460291143</c:v>
                </c:pt>
                <c:pt idx="20">
                  <c:v>-6.55775218115173</c:v>
                </c:pt>
                <c:pt idx="21">
                  <c:v>-8.24136975103727</c:v>
                </c:pt>
                <c:pt idx="22">
                  <c:v>-1.91620367153169</c:v>
                </c:pt>
                <c:pt idx="23">
                  <c:v>-0.659691666935444</c:v>
                </c:pt>
                <c:pt idx="24">
                  <c:v>-1.34559065736491</c:v>
                </c:pt>
                <c:pt idx="25">
                  <c:v>-5.64815952953576</c:v>
                </c:pt>
                <c:pt idx="26">
                  <c:v>-7.35713290954075</c:v>
                </c:pt>
                <c:pt idx="27">
                  <c:v>-6.22142128823788</c:v>
                </c:pt>
                <c:pt idx="28">
                  <c:v>-4.06580371874141</c:v>
                </c:pt>
                <c:pt idx="29">
                  <c:v>14.4694303376673</c:v>
                </c:pt>
                <c:pt idx="30">
                  <c:v>25.328225502551</c:v>
                </c:pt>
                <c:pt idx="31">
                  <c:v>14.1781266246343</c:v>
                </c:pt>
                <c:pt idx="32">
                  <c:v>15.2722353229774</c:v>
                </c:pt>
                <c:pt idx="33">
                  <c:v>-3.46230668071975</c:v>
                </c:pt>
                <c:pt idx="34">
                  <c:v>-14.8800519888145</c:v>
                </c:pt>
                <c:pt idx="35">
                  <c:v>-13.4710094212785</c:v>
                </c:pt>
                <c:pt idx="36">
                  <c:v>-21.7626193207349</c:v>
                </c:pt>
                <c:pt idx="37">
                  <c:v>-22.5972761266002</c:v>
                </c:pt>
                <c:pt idx="38">
                  <c:v>-19.2203320098154</c:v>
                </c:pt>
                <c:pt idx="39">
                  <c:v>-13.1205587719702</c:v>
                </c:pt>
                <c:pt idx="40">
                  <c:v>-12.7633633762573</c:v>
                </c:pt>
                <c:pt idx="41">
                  <c:v>-5.234570151643</c:v>
                </c:pt>
                <c:pt idx="42">
                  <c:v>-3.84531418490094</c:v>
                </c:pt>
                <c:pt idx="43">
                  <c:v>4.55727374625745</c:v>
                </c:pt>
                <c:pt idx="44">
                  <c:v>0.202966954167863</c:v>
                </c:pt>
                <c:pt idx="45">
                  <c:v>-2.17981944684958</c:v>
                </c:pt>
                <c:pt idx="46">
                  <c:v>-1.34708686140644</c:v>
                </c:pt>
                <c:pt idx="47">
                  <c:v>2.50164496191965</c:v>
                </c:pt>
                <c:pt idx="48">
                  <c:v>15.9615573730949</c:v>
                </c:pt>
                <c:pt idx="49">
                  <c:v>15.9121501489371</c:v>
                </c:pt>
              </c:numCache>
            </c:numRef>
          </c:val>
          <c:smooth val="0"/>
        </c:ser>
        <c:ser>
          <c:idx val="3"/>
          <c:order val="3"/>
          <c:tx>
            <c:strRef>
              <c:f>"Wholesale and retail trade 批發及零售業"</c:f>
              <c:strCache>
                <c:ptCount val="1"/>
                <c:pt idx="0">
                  <c:v>Wholesale and retail trade 批發及零售業</c:v>
                </c:pt>
              </c:strCache>
            </c:strRef>
          </c:tx>
          <c:spPr>
            <a:ln w="25400" cap="rnd" cmpd="sng" algn="ctr">
              <a:solidFill>
                <a:srgbClr val="0000FF"/>
              </a:solidFill>
              <a:prstDash val="solid"/>
              <a:round/>
            </a:ln>
          </c:spPr>
          <c:marker>
            <c:symbol val="none"/>
          </c:marker>
          <c:dLbls>
            <c:delete val="1"/>
          </c:dLbls>
          <c:cat>
            <c:numRef>
              <c:f>[3]Xaxis!$E$44:$E$95</c:f>
              <c:numCache>
                <c:formatCode>General</c:formatCode>
                <c:ptCount val="52"/>
                <c:pt idx="0">
                  <c:v>41685</c:v>
                </c:pt>
                <c:pt idx="1">
                  <c:v>41774</c:v>
                </c:pt>
                <c:pt idx="2">
                  <c:v>41866</c:v>
                </c:pt>
                <c:pt idx="3">
                  <c:v>41958</c:v>
                </c:pt>
                <c:pt idx="4">
                  <c:v>42050</c:v>
                </c:pt>
                <c:pt idx="5">
                  <c:v>42139</c:v>
                </c:pt>
                <c:pt idx="6">
                  <c:v>42231</c:v>
                </c:pt>
                <c:pt idx="7">
                  <c:v>42323</c:v>
                </c:pt>
                <c:pt idx="8">
                  <c:v>42415</c:v>
                </c:pt>
                <c:pt idx="9">
                  <c:v>42505</c:v>
                </c:pt>
                <c:pt idx="10">
                  <c:v>42597</c:v>
                </c:pt>
                <c:pt idx="11">
                  <c:v>42689</c:v>
                </c:pt>
                <c:pt idx="12">
                  <c:v>42781</c:v>
                </c:pt>
                <c:pt idx="13">
                  <c:v>42870</c:v>
                </c:pt>
                <c:pt idx="14">
                  <c:v>42962</c:v>
                </c:pt>
                <c:pt idx="15">
                  <c:v>43054</c:v>
                </c:pt>
                <c:pt idx="16">
                  <c:v>43146</c:v>
                </c:pt>
                <c:pt idx="17">
                  <c:v>43235</c:v>
                </c:pt>
                <c:pt idx="18">
                  <c:v>43327</c:v>
                </c:pt>
                <c:pt idx="19">
                  <c:v>43419</c:v>
                </c:pt>
                <c:pt idx="20">
                  <c:v>43511</c:v>
                </c:pt>
                <c:pt idx="21">
                  <c:v>43600</c:v>
                </c:pt>
                <c:pt idx="22">
                  <c:v>43692</c:v>
                </c:pt>
                <c:pt idx="23">
                  <c:v>43784</c:v>
                </c:pt>
                <c:pt idx="24">
                  <c:v>43876</c:v>
                </c:pt>
                <c:pt idx="25">
                  <c:v>43966</c:v>
                </c:pt>
                <c:pt idx="26">
                  <c:v>44058</c:v>
                </c:pt>
                <c:pt idx="27">
                  <c:v>44150</c:v>
                </c:pt>
                <c:pt idx="28">
                  <c:v>44242</c:v>
                </c:pt>
                <c:pt idx="29">
                  <c:v>44331</c:v>
                </c:pt>
                <c:pt idx="30">
                  <c:v>44423</c:v>
                </c:pt>
                <c:pt idx="31">
                  <c:v>44515</c:v>
                </c:pt>
                <c:pt idx="32">
                  <c:v>44607</c:v>
                </c:pt>
                <c:pt idx="33">
                  <c:v>44696</c:v>
                </c:pt>
                <c:pt idx="34">
                  <c:v>44788</c:v>
                </c:pt>
                <c:pt idx="35">
                  <c:v>44880</c:v>
                </c:pt>
                <c:pt idx="36">
                  <c:v>44972</c:v>
                </c:pt>
                <c:pt idx="37">
                  <c:v>45061</c:v>
                </c:pt>
                <c:pt idx="38">
                  <c:v>45153</c:v>
                </c:pt>
                <c:pt idx="39">
                  <c:v>45245</c:v>
                </c:pt>
                <c:pt idx="40">
                  <c:v>45337</c:v>
                </c:pt>
                <c:pt idx="41">
                  <c:v>45427</c:v>
                </c:pt>
                <c:pt idx="42">
                  <c:v>45519</c:v>
                </c:pt>
                <c:pt idx="43">
                  <c:v>45611</c:v>
                </c:pt>
                <c:pt idx="44">
                  <c:v>45703</c:v>
                </c:pt>
                <c:pt idx="45">
                  <c:v>45792</c:v>
                </c:pt>
                <c:pt idx="46">
                  <c:v>45884</c:v>
                </c:pt>
                <c:pt idx="47">
                  <c:v>45976</c:v>
                </c:pt>
                <c:pt idx="48">
                  <c:v>46068</c:v>
                </c:pt>
                <c:pt idx="49">
                  <c:v>46157</c:v>
                </c:pt>
                <c:pt idx="50">
                  <c:v>46249</c:v>
                </c:pt>
                <c:pt idx="51">
                  <c:v>46341</c:v>
                </c:pt>
              </c:numCache>
            </c:numRef>
          </c:cat>
          <c:val>
            <c:numRef>
              <c:f>[3]Data!$J$48:$J$99</c:f>
              <c:numCache>
                <c:formatCode>General</c:formatCode>
                <c:ptCount val="52"/>
                <c:pt idx="0">
                  <c:v>24.5</c:v>
                </c:pt>
                <c:pt idx="1">
                  <c:v>20.6</c:v>
                </c:pt>
                <c:pt idx="2">
                  <c:v>22</c:v>
                </c:pt>
                <c:pt idx="3">
                  <c:v>13.2</c:v>
                </c:pt>
                <c:pt idx="4">
                  <c:v>8.2</c:v>
                </c:pt>
                <c:pt idx="5">
                  <c:v>1.2</c:v>
                </c:pt>
                <c:pt idx="6">
                  <c:v>-8.2</c:v>
                </c:pt>
                <c:pt idx="7">
                  <c:v>-6.1</c:v>
                </c:pt>
                <c:pt idx="8">
                  <c:v>-12.9</c:v>
                </c:pt>
                <c:pt idx="9">
                  <c:v>-11</c:v>
                </c:pt>
                <c:pt idx="10">
                  <c:v>-8.2</c:v>
                </c:pt>
                <c:pt idx="11">
                  <c:v>-7.1</c:v>
                </c:pt>
                <c:pt idx="12">
                  <c:v>0.8</c:v>
                </c:pt>
                <c:pt idx="13">
                  <c:v>2.9</c:v>
                </c:pt>
                <c:pt idx="14">
                  <c:v>-1.1</c:v>
                </c:pt>
                <c:pt idx="15">
                  <c:v>-0.8</c:v>
                </c:pt>
                <c:pt idx="16">
                  <c:v>2.5</c:v>
                </c:pt>
                <c:pt idx="17">
                  <c:v>-0.4</c:v>
                </c:pt>
                <c:pt idx="18">
                  <c:v>-0.9</c:v>
                </c:pt>
                <c:pt idx="19">
                  <c:v>0.600546565491115</c:v>
                </c:pt>
                <c:pt idx="20">
                  <c:v>-8.0710568231685</c:v>
                </c:pt>
                <c:pt idx="21">
                  <c:v>-4.82035416513018</c:v>
                </c:pt>
                <c:pt idx="22">
                  <c:v>-1.43359838181502</c:v>
                </c:pt>
                <c:pt idx="23">
                  <c:v>-3.54819066481956</c:v>
                </c:pt>
                <c:pt idx="24">
                  <c:v>0.536171973277774</c:v>
                </c:pt>
                <c:pt idx="25">
                  <c:v>-3.04620233355753</c:v>
                </c:pt>
                <c:pt idx="26">
                  <c:v>-7.10482753084381</c:v>
                </c:pt>
                <c:pt idx="27">
                  <c:v>-7.29805615466405</c:v>
                </c:pt>
                <c:pt idx="28">
                  <c:v>-6.35247799301278</c:v>
                </c:pt>
                <c:pt idx="29">
                  <c:v>-7.93315615570499</c:v>
                </c:pt>
                <c:pt idx="30">
                  <c:v>-6.94602736813991</c:v>
                </c:pt>
                <c:pt idx="31">
                  <c:v>-6.77561029514234</c:v>
                </c:pt>
                <c:pt idx="32">
                  <c:v>0.703026256964009</c:v>
                </c:pt>
                <c:pt idx="33">
                  <c:v>4.089944865109</c:v>
                </c:pt>
                <c:pt idx="34">
                  <c:v>2.73164924535767</c:v>
                </c:pt>
                <c:pt idx="35">
                  <c:v>-4.10535003141145</c:v>
                </c:pt>
                <c:pt idx="36">
                  <c:v>-12.2986857597353</c:v>
                </c:pt>
                <c:pt idx="37">
                  <c:v>-13.8343341323819</c:v>
                </c:pt>
                <c:pt idx="38">
                  <c:v>-13.1005042076218</c:v>
                </c:pt>
                <c:pt idx="39">
                  <c:v>-3.58239564186856</c:v>
                </c:pt>
                <c:pt idx="40">
                  <c:v>-7.067074706917</c:v>
                </c:pt>
                <c:pt idx="41">
                  <c:v>-6.48400519964636</c:v>
                </c:pt>
                <c:pt idx="42">
                  <c:v>-0.369904326527532</c:v>
                </c:pt>
                <c:pt idx="43">
                  <c:v>-2.70502436521747</c:v>
                </c:pt>
                <c:pt idx="44">
                  <c:v>-0.00986787520029964</c:v>
                </c:pt>
                <c:pt idx="45">
                  <c:v>2.21298057698016</c:v>
                </c:pt>
                <c:pt idx="46">
                  <c:v>-4.8863701968292</c:v>
                </c:pt>
                <c:pt idx="47">
                  <c:v>-4.69387944592387</c:v>
                </c:pt>
                <c:pt idx="48">
                  <c:v>-0.721501624197771</c:v>
                </c:pt>
                <c:pt idx="49">
                  <c:v>6.26719327092293</c:v>
                </c:pt>
              </c:numCache>
            </c:numRef>
          </c:val>
          <c:smooth val="0"/>
        </c:ser>
        <c:dLbls>
          <c:showLegendKey val="0"/>
          <c:showVal val="0"/>
          <c:showCatName val="0"/>
          <c:showSerName val="0"/>
          <c:showPercent val="0"/>
          <c:showBubbleSize val="0"/>
        </c:dLbls>
        <c:marker val="0"/>
        <c:smooth val="0"/>
        <c:axId val="1084597216"/>
        <c:axId val="1"/>
      </c:lineChart>
      <c:lineChart>
        <c:grouping val="standard"/>
        <c:varyColors val="0"/>
        <c:ser>
          <c:idx val="0"/>
          <c:order val="4"/>
          <c:spPr>
            <a:ln w="28575" cap="rnd" cmpd="sng" algn="ctr">
              <a:noFill/>
              <a:prstDash val="solid"/>
              <a:round/>
            </a:ln>
          </c:spPr>
          <c:marker>
            <c:symbol val="none"/>
          </c:marker>
          <c:dLbls>
            <c:delete val="1"/>
          </c:dLbls>
          <c:cat>
            <c:numRef>
              <c:f>[3]Xaxis!$A$14:$A$26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[3]Xaxis!$B$14:$B$26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dLbls>
          <c:showLegendKey val="0"/>
          <c:showVal val="0"/>
          <c:showCatName val="0"/>
          <c:showSerName val="0"/>
          <c:showPercent val="0"/>
          <c:showBubbleSize val="0"/>
        </c:dLbls>
        <c:marker val="0"/>
        <c:smooth val="0"/>
        <c:axId val="3"/>
        <c:axId val="4"/>
      </c:lineChart>
      <c:dateAx>
        <c:axId val="1084597216"/>
        <c:scaling>
          <c:orientation val="minMax"/>
          <c:max val="52.5"/>
          <c:min val="0.5"/>
        </c:scaling>
        <c:delete val="0"/>
        <c:axPos val="b"/>
        <c:numFmt formatCode="mmm\-yy" sourceLinked="1"/>
        <c:majorTickMark val="cross"/>
        <c:minorTickMark val="out"/>
        <c:tickLblPos val="none"/>
        <c:spPr>
          <a:ln w="3175" cap="flat" cmpd="sng" algn="ctr">
            <a:solidFill>
              <a:srgbClr val="000000"/>
            </a:solidFill>
            <a:prstDash val="solid"/>
            <a:round/>
          </a:ln>
        </c:spPr>
        <c:txPr>
          <a:bodyPr rot="-60000000" spcFirstLastPara="0" vertOverflow="ellipsis" vert="horz" wrap="square" anchor="ctr" anchorCtr="1"/>
          <a:lstStyle/>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crossAx val="1"/>
        <c:crossesAt val="-30"/>
        <c:auto val="1"/>
        <c:lblAlgn val="ctr"/>
        <c:lblOffset val="100"/>
        <c:baseTimeUnit val="days"/>
        <c:majorUnit val="1"/>
        <c:minorUnit val="3"/>
      </c:dateAx>
      <c:valAx>
        <c:axId val="1"/>
        <c:scaling>
          <c:orientation val="minMax"/>
          <c:max val="70"/>
          <c:min val="-30"/>
        </c:scaling>
        <c:delete val="0"/>
        <c:axPos val="l"/>
        <c:title>
          <c:tx>
            <c:rich>
              <a:bodyPr rot="0" spcFirstLastPara="0" vertOverflow="ellipsis" vert="horz" wrap="square" anchor="ctr" anchorCtr="1"/>
              <a:lstStyle/>
              <a:p>
                <a:pPr algn="ct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1300" b="0" i="0" u="none" strike="noStrike" baseline="0">
                    <a:solidFill>
                      <a:srgbClr val="000000"/>
                    </a:solidFill>
                    <a:latin typeface="Times New Roman" panose="02020503050405090304" pitchFamily="12"/>
                    <a:cs typeface="Times New Roman" panose="02020503050405090304" pitchFamily="12"/>
                  </a:rPr>
                  <a:t>yoy, %</a:t>
                </a:r>
                <a:endParaRPr lang="en-GB" sz="1300" b="0" i="0" u="none" strike="noStrike" baseline="0">
                  <a:solidFill>
                    <a:srgbClr val="000000"/>
                  </a:solidFill>
                  <a:latin typeface="Times New Roman" panose="02020503050405090304" pitchFamily="12"/>
                  <a:cs typeface="Times New Roman" panose="02020503050405090304" pitchFamily="12"/>
                </a:endParaRPr>
              </a:p>
              <a:p>
                <a:pPr algn="ct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1300" b="0" i="0" u="none" strike="noStrike" baseline="0">
                    <a:solidFill>
                      <a:srgbClr val="000000"/>
                    </a:solidFill>
                    <a:latin typeface="Times New Roman" panose="02020503050405090304" pitchFamily="12"/>
                    <a:cs typeface="Times New Roman" panose="02020503050405090304" pitchFamily="12"/>
                  </a:rPr>
                  <a:t>按年,%</a:t>
                </a:r>
                <a:endParaRPr lang="en-GB" sz="1300" b="0" i="0" u="none" strike="noStrike" baseline="0">
                  <a:solidFill>
                    <a:srgbClr val="000000"/>
                  </a:solidFill>
                  <a:latin typeface="Times New Roman" panose="02020503050405090304" pitchFamily="12"/>
                  <a:cs typeface="Times New Roman" panose="02020503050405090304" pitchFamily="12"/>
                </a:endParaRPr>
              </a:p>
            </c:rich>
          </c:tx>
          <c:layout>
            <c:manualLayout>
              <c:xMode val="edge"/>
              <c:yMode val="edge"/>
              <c:x val="0.0124274715223213"/>
              <c:y val="0.0285327932873743"/>
            </c:manualLayout>
          </c:layout>
          <c:overlay val="0"/>
          <c:spPr>
            <a:noFill/>
            <a:ln w="25400">
              <a:noFill/>
            </a:ln>
          </c:spPr>
        </c:title>
        <c:numFmt formatCode="0" sourceLinked="0"/>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crossAx val="1084597216"/>
        <c:crossesAt val="1200"/>
        <c:crossBetween val="between"/>
      </c:valAx>
      <c:catAx>
        <c:axId val="3"/>
        <c:scaling>
          <c:orientation val="minMax"/>
        </c:scaling>
        <c:delete val="0"/>
        <c:axPos val="b"/>
        <c:numFmt formatCode="General" sourceLinked="1"/>
        <c:majorTickMark val="none"/>
        <c:minorTickMark val="none"/>
        <c:tickLblPos val="low"/>
        <c:txPr>
          <a:bodyPr rot="0" spcFirstLastPara="0" vertOverflow="ellipsis" vert="horz" wrap="square" anchor="ctr" anchorCtr="1"/>
          <a:lstStyle/>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crossAx val="4"/>
        <c:crossesAt val="0"/>
        <c:auto val="0"/>
        <c:lblAlgn val="ctr"/>
        <c:lblOffset val="100"/>
        <c:tickLblSkip val="1"/>
        <c:noMultiLvlLbl val="0"/>
      </c:catAx>
      <c:valAx>
        <c:axId val="4"/>
        <c:scaling>
          <c:orientation val="minMax"/>
          <c:max val="70"/>
          <c:min val="-30"/>
        </c:scaling>
        <c:delete val="0"/>
        <c:axPos val="r"/>
        <c:title>
          <c:tx>
            <c:rich>
              <a:bodyPr rot="0" spcFirstLastPara="0" vertOverflow="ellipsis" vert="horz" wrap="square" anchor="ctr" anchorCtr="1"/>
              <a:lstStyle/>
              <a:p>
                <a:pPr algn="ct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1300" b="0" i="0" u="none" strike="noStrike" baseline="0">
                    <a:solidFill>
                      <a:srgbClr val="000000"/>
                    </a:solidFill>
                    <a:latin typeface="Times New Roman" panose="02020503050405090304" pitchFamily="12"/>
                    <a:cs typeface="Times New Roman" panose="02020503050405090304" pitchFamily="12"/>
                  </a:rPr>
                  <a:t>yoy, %</a:t>
                </a:r>
                <a:endParaRPr lang="en-GB" sz="1300" b="0" i="0" u="none" strike="noStrike" baseline="0">
                  <a:solidFill>
                    <a:srgbClr val="000000"/>
                  </a:solidFill>
                  <a:latin typeface="Times New Roman" panose="02020503050405090304" pitchFamily="12"/>
                  <a:cs typeface="Times New Roman" panose="02020503050405090304" pitchFamily="12"/>
                </a:endParaRPr>
              </a:p>
              <a:p>
                <a:pPr algn="ct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r>
                  <a:rPr lang="en-GB" sz="1300" b="0" i="0" u="none" strike="noStrike" baseline="0">
                    <a:solidFill>
                      <a:srgbClr val="000000"/>
                    </a:solidFill>
                    <a:latin typeface="Times New Roman" panose="02020503050405090304" pitchFamily="12"/>
                    <a:cs typeface="Times New Roman" panose="02020503050405090304" pitchFamily="12"/>
                  </a:rPr>
                  <a:t>按年,%</a:t>
                </a:r>
                <a:endParaRPr lang="en-GB" sz="1300" b="0" i="0" u="none" strike="noStrike" baseline="0">
                  <a:solidFill>
                    <a:srgbClr val="000000"/>
                  </a:solidFill>
                  <a:latin typeface="Times New Roman" panose="02020503050405090304" pitchFamily="12"/>
                  <a:cs typeface="Times New Roman" panose="02020503050405090304" pitchFamily="12"/>
                </a:endParaRPr>
              </a:p>
            </c:rich>
          </c:tx>
          <c:layout>
            <c:manualLayout>
              <c:xMode val="edge"/>
              <c:yMode val="edge"/>
              <c:x val="0.924606397953321"/>
              <c:y val="0.0258157798079558"/>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5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crossAx val="3"/>
        <c:crosses val="max"/>
        <c:crossBetween val="between"/>
      </c:valAx>
      <c:spPr>
        <a:noFill/>
        <a:ln w="3175">
          <a:solidFill>
            <a:srgbClr val="000000"/>
          </a:solidFill>
          <a:prstDash val="solid"/>
        </a:ln>
      </c:spPr>
    </c:plotArea>
    <c:legend>
      <c:legendPos val="r"/>
      <c:legendEntry>
        <c:idx val="4"/>
        <c:delete val="1"/>
      </c:legendEntry>
      <c:layout>
        <c:manualLayout>
          <c:xMode val="edge"/>
          <c:yMode val="edge"/>
          <c:x val="0.0477876536267276"/>
          <c:y val="0.147423995969089"/>
          <c:w val="0.900145772911015"/>
          <c:h val="0.315275855751477"/>
        </c:manualLayout>
      </c:layout>
      <c:overlay val="0"/>
      <c:spPr>
        <a:noFill/>
        <a:ln w="25400">
          <a:noFill/>
        </a:ln>
      </c:spPr>
      <c:txPr>
        <a:bodyPr rot="0" spcFirstLastPara="0" vertOverflow="ellipsis" vert="horz" wrap="square" anchor="ctr" anchorCtr="1"/>
        <a:lstStyle/>
        <a:p>
          <a:pPr>
            <a:defRPr lang="zh-CN" sz="800" b="0" i="0" u="none" strike="noStrike" kern="1200"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legend>
    <c:plotVisOnly val="1"/>
    <c:dispBlanksAs val="gap"/>
    <c:showDLblsOverMax val="0"/>
    <c:extLst>
      <c:ext uri="{0b15fc19-7d7d-44ad-8c2d-2c3a37ce22c3}">
        <chartProps xmlns="https://web.wps.cn/et/2018/main" chartId="{44f01dab-07ea-41d0-822a-64cd7913eea0}"/>
      </c:ext>
    </c:extLst>
  </c:chart>
  <c:spPr>
    <a:solidFill>
      <a:srgbClr val="FFFFFF"/>
    </a:solidFill>
    <a:ln w="9525" cap="flat" cmpd="sng" algn="ctr">
      <a:noFill/>
      <a:prstDash val="solid"/>
      <a:round/>
    </a:ln>
  </c:spPr>
  <c:txPr>
    <a:bodyPr/>
    <a:lstStyle/>
    <a:p>
      <a:pPr>
        <a:defRPr lang="zh-CN" sz="1500" b="0" i="0" u="none" strike="noStrike" baseline="0">
          <a:solidFill>
            <a:srgbClr val="000000"/>
          </a:solidFill>
          <a:latin typeface="Times New Roman" panose="02020503050405090304" pitchFamily="12"/>
          <a:ea typeface="Times New Roman" panose="02020503050405090304" pitchFamily="12"/>
          <a:cs typeface="Times New Roman" panose="02020503050405090304" pitchFamily="12"/>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a:ea typeface="+mn-ea"/>
                <a:cs typeface="+mn-cs"/>
              </a:defRPr>
            </a:pPr>
            <a:r>
              <a:rPr sz="1800" b="1" strike="noStrike" spc="-1">
                <a:solidFill>
                  <a:srgbClr val="000000"/>
                </a:solidFill>
                <a:latin typeface="Calibri"/>
              </a:rPr>
              <a:t>香港前20大贸易融资贷款机构（2024年，十亿港元）</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'Hong Kong trade finance lenders'!$D$2</c:f>
              <c:strCache>
                <c:ptCount val="1"/>
                <c:pt idx="0">
                  <c:v>客户垫款（十亿港元）</c:v>
                </c:pt>
              </c:strCache>
            </c:strRef>
          </c:tx>
          <c:spPr>
            <a:solidFill>
              <a:srgbClr val="4F81B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'Hong Kong trade finance lenders'!$C$3:$C$23</c:f>
              <c:strCache>
                <c:ptCount val="21"/>
                <c:pt idx="0">
                  <c:v>汇丰银行</c:v>
                </c:pt>
                <c:pt idx="1">
                  <c:v>渣打银行</c:v>
                </c:pt>
                <c:pt idx="2">
                  <c:v>中国银行</c:v>
                </c:pt>
                <c:pt idx="3">
                  <c:v>恒生银行</c:v>
                </c:pt>
                <c:pt idx="4">
                  <c:v>星展银行</c:v>
                </c:pt>
                <c:pt idx="5">
                  <c:v>大华银行</c:v>
                </c:pt>
                <c:pt idx="6">
                  <c:v>桑坦德银行</c:v>
                </c:pt>
                <c:pt idx="7">
                  <c:v>西班牙对外银行（BBVA）</c:v>
                </c:pt>
                <c:pt idx="8">
                  <c:v>法国巴黎银行</c:v>
                </c:pt>
                <c:pt idx="9">
                  <c:v>中国工商银行</c:v>
                </c:pt>
                <c:pt idx="10">
                  <c:v>花旗银行</c:v>
                </c:pt>
                <c:pt idx="11">
                  <c:v>德意志银行</c:v>
                </c:pt>
                <c:pt idx="12">
                  <c:v>南洋商业银行</c:v>
                </c:pt>
                <c:pt idx="13">
                  <c:v>上海商业银行</c:v>
                </c:pt>
                <c:pt idx="14">
                  <c:v>中信银行</c:v>
                </c:pt>
                <c:pt idx="15">
                  <c:v>东亚银行</c:v>
                </c:pt>
                <c:pt idx="16">
                  <c:v>华侨银行</c:v>
                </c:pt>
                <c:pt idx="17">
                  <c:v>美国银行</c:v>
                </c:pt>
                <c:pt idx="18">
                  <c:v>大新银行</c:v>
                </c:pt>
                <c:pt idx="19">
                  <c:v>富邦银行</c:v>
                </c:pt>
                <c:pt idx="20">
                  <c:v>其他</c:v>
                </c:pt>
              </c:strCache>
            </c:strRef>
          </c:cat>
          <c:val>
            <c:numRef>
              <c:f>'Hong Kong trade finance lenders'!$D$3:$D$23</c:f>
              <c:numCache>
                <c:formatCode>#,##0.0</c:formatCode>
                <c:ptCount val="21"/>
                <c:pt idx="0">
                  <c:v>153.1</c:v>
                </c:pt>
                <c:pt idx="1">
                  <c:v>63.5</c:v>
                </c:pt>
                <c:pt idx="2">
                  <c:v>47</c:v>
                </c:pt>
                <c:pt idx="3">
                  <c:v>30.5</c:v>
                </c:pt>
                <c:pt idx="4">
                  <c:v>27.8</c:v>
                </c:pt>
                <c:pt idx="5">
                  <c:v>16.9</c:v>
                </c:pt>
                <c:pt idx="6">
                  <c:v>10.8</c:v>
                </c:pt>
                <c:pt idx="7">
                  <c:v>10.4</c:v>
                </c:pt>
                <c:pt idx="8">
                  <c:v>9.8</c:v>
                </c:pt>
                <c:pt idx="9">
                  <c:v>9.7</c:v>
                </c:pt>
                <c:pt idx="10">
                  <c:v>9.7</c:v>
                </c:pt>
                <c:pt idx="11">
                  <c:v>9.6</c:v>
                </c:pt>
                <c:pt idx="12">
                  <c:v>8.9</c:v>
                </c:pt>
                <c:pt idx="13">
                  <c:v>7.6</c:v>
                </c:pt>
                <c:pt idx="14">
                  <c:v>7.2</c:v>
                </c:pt>
                <c:pt idx="15">
                  <c:v>6.9</c:v>
                </c:pt>
                <c:pt idx="16">
                  <c:v>6.5</c:v>
                </c:pt>
                <c:pt idx="17">
                  <c:v>6.4</c:v>
                </c:pt>
                <c:pt idx="18">
                  <c:v>4.9</c:v>
                </c:pt>
                <c:pt idx="19">
                  <c:v>4.7</c:v>
                </c:pt>
                <c:pt idx="20">
                  <c:v>49.1</c:v>
                </c:pt>
              </c:numCache>
            </c:numRef>
          </c:val>
        </c:ser>
        <c:dLbls>
          <c:showLegendKey val="0"/>
          <c:showVal val="0"/>
          <c:showCatName val="0"/>
          <c:showSerName val="0"/>
          <c:showPercent val="0"/>
          <c:showBubbleSize val="1"/>
        </c:dLbls>
        <c:gapWidth val="150"/>
        <c:overlap val="0"/>
        <c:axId val="75860401"/>
        <c:axId val="49123691"/>
      </c:barChart>
      <c:catAx>
        <c:axId val="75860401"/>
        <c:scaling>
          <c:orientation val="minMax"/>
        </c:scaling>
        <c:delete val="0"/>
        <c:axPos val="b"/>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a:ea typeface="+mn-ea"/>
                <a:cs typeface="+mn-cs"/>
              </a:defRPr>
            </a:pPr>
          </a:p>
        </c:txPr>
        <c:crossAx val="49123691"/>
        <c:crosses val="autoZero"/>
        <c:auto val="1"/>
        <c:lblAlgn val="ctr"/>
        <c:lblOffset val="100"/>
        <c:noMultiLvlLbl val="0"/>
      </c:catAx>
      <c:valAx>
        <c:axId val="49123691"/>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a:ea typeface="+mn-ea"/>
                    <a:cs typeface="+mn-cs"/>
                  </a:defRPr>
                </a:pPr>
                <a:r>
                  <a:rPr sz="1000" b="1" strike="noStrike" spc="-1">
                    <a:solidFill>
                      <a:srgbClr val="000000"/>
                    </a:solidFill>
                    <a:latin typeface="Calibri"/>
                  </a:rPr>
                  <a:t>客户垫款（十亿港元）</a:t>
                </a:r>
                <a:endParaRPr sz="1000" b="1" strike="noStrike" spc="-1">
                  <a:solidFill>
                    <a:srgbClr val="000000"/>
                  </a:solidFill>
                  <a:latin typeface="Calibri"/>
                </a:endParaRPr>
              </a:p>
            </c:rich>
          </c:tx>
          <c:layout/>
          <c:overlay val="0"/>
          <c:spPr>
            <a:noFill/>
            <a:ln w="0">
              <a:noFill/>
            </a:ln>
          </c:spPr>
        </c:title>
        <c:numFmt formatCode="#,##0.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a:ea typeface="+mn-ea"/>
                <a:cs typeface="+mn-cs"/>
              </a:defRPr>
            </a:pPr>
          </a:p>
        </c:txPr>
        <c:crossAx val="75860401"/>
        <c:crosses val="autoZero"/>
        <c:crossBetween val="between"/>
      </c:valAx>
      <c:spPr>
        <a:noFill/>
        <a:ln w="0">
          <a:noFill/>
        </a:ln>
      </c:spPr>
    </c:plotArea>
    <c:plotVisOnly val="1"/>
    <c:dispBlanksAs val="gap"/>
    <c:showDLblsOverMax val="0"/>
    <c:extLst>
      <c:ext uri="{0b15fc19-7d7d-44ad-8c2d-2c3a37ce22c3}">
        <chartProps xmlns="https://web.wps.cn/et/2018/main" chartId="{2c7921df-af90-44c2-b859-85104a80ee93}"/>
      </c:ext>
    </c:extLst>
  </c:chart>
  <c:spPr>
    <a:solidFill>
      <a:srgbClr val="FFFFFF"/>
    </a:solidFill>
    <a:ln w="9360" cap="flat" cmpd="sng" algn="ctr">
      <a:solidFill>
        <a:srgbClr val="D9D9D9"/>
      </a:solidFill>
      <a:prstDash val="solid"/>
      <a:round/>
    </a:ln>
  </c:spPr>
  <c:txPr>
    <a:bodyPr/>
    <a:lstStyle/>
    <a:p>
      <a:pPr>
        <a:defRPr lang="zh-CN"/>
      </a:pPr>
    </a:p>
  </c:txPr>
  <c:externalData r:id="rId1">
    <c:autoUpdate val="0"/>
  </c:externalData>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0</xdr:colOff>
      <xdr:row>0</xdr:row>
      <xdr:rowOff>0</xdr:rowOff>
    </xdr:from>
    <xdr:to>
      <xdr:col>13</xdr:col>
      <xdr:colOff>303048</xdr:colOff>
      <xdr:row>26</xdr:row>
      <xdr:rowOff>112899</xdr:rowOff>
    </xdr:to>
    <xdr:graphicFrame>
      <xdr:nvGraphicFramePr>
        <xdr:cNvPr id="2" name="Chart 1"/>
        <xdr:cNvGraphicFramePr>
          <a:graphicFrameLocks noGrp="1"/>
        </xdr:cNvGraphicFramePr>
      </xdr:nvGraphicFramePr>
      <xdr:xfrm>
        <a:off x="0" y="0"/>
        <a:ext cx="9218295" cy="56597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0.00264</cdr:x>
      <cdr:y>0.9045</cdr:y>
    </cdr:from>
    <cdr:to>
      <cdr:x>0.94014</cdr:x>
      <cdr:y>1</cdr:y>
    </cdr:to>
    <cdr:sp>
      <cdr:nvSpPr>
        <cdr:cNvPr id="2" name="矩形 1"/>
        <cdr:cNvSpPr>
          <a14:cpLocks xmlns:a14="http://schemas.microsoft.com/office/drawing/2010/main" noChangeArrowheads="1"/>
        </cdr:cNvSpPr>
      </cdr:nvSpPr>
      <cdr:spPr xmlns:a="http://schemas.openxmlformats.org/drawingml/2006/main">
        <a:xfrm xmlns:a="http://schemas.openxmlformats.org/drawingml/2006/main">
          <a:off x="26651" y="5096570"/>
          <a:ext cx="8634510" cy="528783"/>
        </a:xfrm>
        <a:prstGeom xmlns:a="http://schemas.openxmlformats.org/drawingml/2006/main" prst="rect">
          <a:avLst/>
        </a:prstGeom>
        <a:noFill/>
        <a:ln>
          <a:noFill/>
        </a:ln>
      </cdr:spPr>
      <cdr:txBody xmlns:a="http://schemas.openxmlformats.org/drawingml/2006/main">
        <a:bodyPr vertOverflow="clip" wrap="square" lIns="36576" tIns="32004" rIns="0" bIns="0" anchor="t" upright="1"/>
        <a:lstStyle/>
        <a:p>
          <a:pPr algn="l" rtl="0">
            <a:defRPr sz="1000"/>
          </a:pPr>
          <a:r>
            <a:rPr lang="zh-TW" altLang="en-US" sz="1300" b="0" i="0" u="none" strike="noStrike" baseline="0">
              <a:solidFill>
                <a:srgbClr val="000000"/>
              </a:solidFill>
              <a:latin typeface="Times New Roman" panose="02020503050405090304" pitchFamily="12"/>
              <a:cs typeface="Times New Roman" panose="02020503050405090304" pitchFamily="12"/>
            </a:rPr>
            <a:t>*  Include loans for property development &amp; investment and purchase of private residential properties.</a:t>
          </a:r>
          <a:endParaRPr lang="zh-TW" altLang="en-US" sz="1300" b="0" i="0" u="none" strike="noStrike" baseline="0">
            <a:solidFill>
              <a:srgbClr val="000000"/>
            </a:solidFill>
            <a:latin typeface="Times New Roman" panose="02020503050405090304" pitchFamily="12"/>
            <a:cs typeface="Times New Roman" panose="02020503050405090304" pitchFamily="12"/>
          </a:endParaRPr>
        </a:p>
        <a:p>
          <a:pPr algn="l" rtl="0">
            <a:defRPr sz="1000"/>
          </a:pPr>
          <a:r>
            <a:rPr lang="zh-TW" altLang="en-US" sz="1300" b="0" i="0" u="none" strike="noStrike" baseline="0">
              <a:solidFill>
                <a:srgbClr val="000000"/>
              </a:solidFill>
              <a:latin typeface="Times New Roman" panose="02020503050405090304" pitchFamily="12"/>
              <a:cs typeface="Times New Roman" panose="02020503050405090304" pitchFamily="12"/>
            </a:rPr>
            <a:t>* </a:t>
          </a:r>
          <a:r>
            <a:rPr lang="zh-TW" altLang="en-US" sz="1300" b="0" i="0" u="none" strike="noStrike" baseline="0">
              <a:solidFill>
                <a:srgbClr val="000000"/>
              </a:solidFill>
              <a:latin typeface="細明體"/>
              <a:ea typeface="細明體"/>
              <a:cs typeface="Times New Roman" panose="02020503050405090304" pitchFamily="12"/>
            </a:rPr>
            <a:t>包括用作物業發展與投資及購買私人住宅樓宇的貸款。</a:t>
          </a:r>
          <a:endParaRPr lang="zh-TW" altLang="en-US" sz="1300" b="0" i="0" u="none" strike="noStrike" baseline="0">
            <a:solidFill>
              <a:srgbClr val="000000"/>
            </a:solidFill>
            <a:latin typeface="細明體"/>
            <a:ea typeface="細明體"/>
          </a:endParaRPr>
        </a:p>
      </cdr:txBody>
    </cdr:sp>
  </cdr:relSizeAnchor>
</c:userShapes>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702945</xdr:colOff>
      <xdr:row>1</xdr:row>
      <xdr:rowOff>0</xdr:rowOff>
    </xdr:from>
    <xdr:to>
      <xdr:col>17</xdr:col>
      <xdr:colOff>53340</xdr:colOff>
      <xdr:row>25</xdr:row>
      <xdr:rowOff>125095</xdr:rowOff>
    </xdr:to>
    <xdr:graphicFrame>
      <xdr:nvGraphicFramePr>
        <xdr:cNvPr id="2" name="Chart 1"/>
        <xdr:cNvGraphicFramePr/>
      </xdr:nvGraphicFramePr>
      <xdr:xfrm>
        <a:off x="10293985" y="304800"/>
        <a:ext cx="7110730" cy="5299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AT/MSB/SUMMARY/new%20method/D/Macintosh%20HDYVONNE/971119_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AT/MSB/SUMMARY/new%20method/D/Macintosh%20HDUsers/david/Downloads/ST201_Y.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joycetang/Desktop/CDI-HK-trade finance/Gmail (1)/J:/Downloads/C03 (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102"/>
      <sheetName val="T103"/>
      <sheetName val="T305"/>
      <sheetName val="T5011"/>
      <sheetName val="T502"/>
      <sheetName val="T208"/>
      <sheetName val="Loan to deposit ratio"/>
      <sheetName val="Foreign reserves"/>
      <sheetName val="86 to 96"/>
      <sheetName val="T202"/>
      <sheetName val="T503"/>
      <sheetName val="T602"/>
      <sheetName val="T301"/>
      <sheetName val="T403"/>
      <sheetName val="T401"/>
      <sheetName val="T5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201"/>
      <sheetName val="ST201_Y"/>
    </sheetNames>
    <definedNames>
      <definedName name="insert"/>
    </definedNames>
    <sheetDataSet>
      <sheetData sheetId="0" refreshError="1"/>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hart"/>
      <sheetName val="Data"/>
      <sheetName val="Xaxis"/>
    </sheetNames>
    <sheetDataSet>
      <sheetData sheetId="0" refreshError="1"/>
      <sheetData sheetId="1">
        <row r="48">
          <cell r="H48">
            <v>23.4</v>
          </cell>
          <cell r="I48">
            <v>6.9</v>
          </cell>
          <cell r="J48">
            <v>24.5</v>
          </cell>
          <cell r="K48">
            <v>35.4</v>
          </cell>
        </row>
        <row r="49">
          <cell r="H49">
            <v>20.4</v>
          </cell>
          <cell r="I49">
            <v>5.7</v>
          </cell>
          <cell r="J49">
            <v>20.6</v>
          </cell>
          <cell r="K49">
            <v>11.9</v>
          </cell>
        </row>
        <row r="50">
          <cell r="H50">
            <v>23.7</v>
          </cell>
          <cell r="I50">
            <v>4.9</v>
          </cell>
          <cell r="J50">
            <v>22</v>
          </cell>
          <cell r="K50">
            <v>4</v>
          </cell>
        </row>
        <row r="51">
          <cell r="H51">
            <v>22.8</v>
          </cell>
          <cell r="I51">
            <v>7.4</v>
          </cell>
          <cell r="J51">
            <v>13.2</v>
          </cell>
          <cell r="K51">
            <v>-1.4</v>
          </cell>
        </row>
        <row r="52">
          <cell r="H52">
            <v>10</v>
          </cell>
          <cell r="I52">
            <v>7.7</v>
          </cell>
          <cell r="J52">
            <v>8.2</v>
          </cell>
          <cell r="K52">
            <v>-8.5</v>
          </cell>
        </row>
        <row r="53">
          <cell r="H53">
            <v>3</v>
          </cell>
          <cell r="I53">
            <v>8.8</v>
          </cell>
          <cell r="J53">
            <v>1.2</v>
          </cell>
          <cell r="K53">
            <v>-10</v>
          </cell>
        </row>
        <row r="54">
          <cell r="H54">
            <v>-4</v>
          </cell>
          <cell r="I54">
            <v>10.2</v>
          </cell>
          <cell r="J54">
            <v>-8.2</v>
          </cell>
          <cell r="K54">
            <v>-20.7</v>
          </cell>
        </row>
        <row r="55">
          <cell r="H55">
            <v>-8.2</v>
          </cell>
          <cell r="I55">
            <v>8.2</v>
          </cell>
          <cell r="J55">
            <v>-6.1</v>
          </cell>
          <cell r="K55">
            <v>-16.3</v>
          </cell>
        </row>
        <row r="56">
          <cell r="H56">
            <v>-7.4</v>
          </cell>
          <cell r="I56">
            <v>7.8</v>
          </cell>
          <cell r="J56">
            <v>-12.9</v>
          </cell>
          <cell r="K56">
            <v>-20.9</v>
          </cell>
        </row>
        <row r="57">
          <cell r="H57">
            <v>0.9</v>
          </cell>
          <cell r="I57">
            <v>5.6</v>
          </cell>
          <cell r="J57">
            <v>-11</v>
          </cell>
          <cell r="K57">
            <v>-17</v>
          </cell>
        </row>
        <row r="58">
          <cell r="H58">
            <v>-3.5</v>
          </cell>
          <cell r="I58">
            <v>4</v>
          </cell>
          <cell r="J58">
            <v>-8.2</v>
          </cell>
          <cell r="K58">
            <v>-7.1</v>
          </cell>
        </row>
        <row r="59">
          <cell r="H59">
            <v>1.1</v>
          </cell>
          <cell r="I59">
            <v>7.5</v>
          </cell>
          <cell r="J59">
            <v>-7.1</v>
          </cell>
          <cell r="K59">
            <v>0.2</v>
          </cell>
        </row>
        <row r="60">
          <cell r="H60">
            <v>9</v>
          </cell>
          <cell r="I60">
            <v>10.1</v>
          </cell>
          <cell r="J60">
            <v>0.8</v>
          </cell>
          <cell r="K60">
            <v>4.3</v>
          </cell>
        </row>
        <row r="61">
          <cell r="H61">
            <v>5.5</v>
          </cell>
          <cell r="I61">
            <v>13.1</v>
          </cell>
          <cell r="J61">
            <v>2.9</v>
          </cell>
          <cell r="K61">
            <v>3</v>
          </cell>
        </row>
        <row r="62">
          <cell r="H62">
            <v>15.6</v>
          </cell>
          <cell r="I62">
            <v>14.9</v>
          </cell>
          <cell r="J62">
            <v>-1.1</v>
          </cell>
          <cell r="K62">
            <v>8.5</v>
          </cell>
        </row>
        <row r="63">
          <cell r="H63">
            <v>18.8</v>
          </cell>
          <cell r="I63">
            <v>13.3</v>
          </cell>
          <cell r="J63">
            <v>-0.8</v>
          </cell>
          <cell r="K63">
            <v>8.7</v>
          </cell>
        </row>
        <row r="64">
          <cell r="H64">
            <v>17.3</v>
          </cell>
          <cell r="I64">
            <v>11.5</v>
          </cell>
          <cell r="J64">
            <v>2.5</v>
          </cell>
          <cell r="K64">
            <v>11.9</v>
          </cell>
        </row>
        <row r="65">
          <cell r="H65">
            <v>22.1</v>
          </cell>
          <cell r="I65">
            <v>7.4</v>
          </cell>
          <cell r="J65">
            <v>-0.4</v>
          </cell>
          <cell r="K65">
            <v>12.7</v>
          </cell>
        </row>
        <row r="66">
          <cell r="H66">
            <v>11.6</v>
          </cell>
          <cell r="I66">
            <v>7.1</v>
          </cell>
          <cell r="J66">
            <v>-0.9</v>
          </cell>
          <cell r="K66">
            <v>-0.6</v>
          </cell>
        </row>
        <row r="67">
          <cell r="H67">
            <v>8.48009037465465</v>
          </cell>
          <cell r="I67">
            <v>5.93874067047602</v>
          </cell>
          <cell r="J67">
            <v>0.600546565491115</v>
          </cell>
          <cell r="K67">
            <v>-7.59179460291143</v>
          </cell>
        </row>
        <row r="68">
          <cell r="H68">
            <v>3.77995296211897</v>
          </cell>
          <cell r="I68">
            <v>4.89255774407036</v>
          </cell>
          <cell r="J68">
            <v>-8.0710568231685</v>
          </cell>
          <cell r="K68">
            <v>-6.55775218115173</v>
          </cell>
        </row>
        <row r="69">
          <cell r="H69">
            <v>-3.32460835115197</v>
          </cell>
          <cell r="I69">
            <v>7.28166921319544</v>
          </cell>
          <cell r="J69">
            <v>-4.82035416513018</v>
          </cell>
          <cell r="K69">
            <v>-8.24136975103727</v>
          </cell>
        </row>
        <row r="70">
          <cell r="H70">
            <v>-1.58002334466396</v>
          </cell>
          <cell r="I70">
            <v>6.37354757697719</v>
          </cell>
          <cell r="J70">
            <v>-1.43359838181502</v>
          </cell>
          <cell r="K70">
            <v>-1.91620367153169</v>
          </cell>
        </row>
        <row r="71">
          <cell r="H71">
            <v>0.587400702674117</v>
          </cell>
          <cell r="I71">
            <v>7.75103126954792</v>
          </cell>
          <cell r="J71">
            <v>-3.54819066481956</v>
          </cell>
          <cell r="K71">
            <v>-0.659691666935444</v>
          </cell>
        </row>
        <row r="72">
          <cell r="H72">
            <v>8.75007733140968</v>
          </cell>
          <cell r="I72">
            <v>8.5001158642098</v>
          </cell>
          <cell r="J72">
            <v>0.536171973277774</v>
          </cell>
          <cell r="K72">
            <v>-1.34559065736491</v>
          </cell>
        </row>
        <row r="73">
          <cell r="H73">
            <v>1.04818267801437</v>
          </cell>
          <cell r="I73">
            <v>5.45877861738894</v>
          </cell>
          <cell r="J73">
            <v>-3.04620233355753</v>
          </cell>
          <cell r="K73">
            <v>-5.64815952953576</v>
          </cell>
        </row>
        <row r="74">
          <cell r="H74">
            <v>0.313355621001918</v>
          </cell>
          <cell r="I74">
            <v>4.19621269077912</v>
          </cell>
          <cell r="J74">
            <v>-7.10482753084381</v>
          </cell>
          <cell r="K74">
            <v>-7.35713290954075</v>
          </cell>
        </row>
        <row r="75">
          <cell r="H75">
            <v>1.67543988009891</v>
          </cell>
          <cell r="I75">
            <v>3.68325220020031</v>
          </cell>
          <cell r="J75">
            <v>-7.29805615466405</v>
          </cell>
          <cell r="K75">
            <v>-6.22142128823788</v>
          </cell>
        </row>
        <row r="76">
          <cell r="H76">
            <v>-0.512285586389439</v>
          </cell>
          <cell r="I76">
            <v>4.05142793089064</v>
          </cell>
          <cell r="J76">
            <v>-6.35247799301278</v>
          </cell>
          <cell r="K76">
            <v>-4.06580371874141</v>
          </cell>
        </row>
        <row r="77">
          <cell r="H77">
            <v>1.85728154620573</v>
          </cell>
          <cell r="I77">
            <v>6.4227029961387</v>
          </cell>
          <cell r="J77">
            <v>-7.93315615570499</v>
          </cell>
          <cell r="K77">
            <v>14.4694303376673</v>
          </cell>
        </row>
        <row r="78">
          <cell r="H78">
            <v>5.72964934573217</v>
          </cell>
          <cell r="I78">
            <v>6.63867570039052</v>
          </cell>
          <cell r="J78">
            <v>-6.94602736813991</v>
          </cell>
          <cell r="K78">
            <v>25.328225502551</v>
          </cell>
        </row>
        <row r="79">
          <cell r="H79">
            <v>2.0893076809804</v>
          </cell>
          <cell r="I79">
            <v>7.7684400124503</v>
          </cell>
          <cell r="J79">
            <v>-6.77561029514234</v>
          </cell>
          <cell r="K79">
            <v>14.1781266246343</v>
          </cell>
        </row>
        <row r="80">
          <cell r="H80">
            <v>3.68057972050586</v>
          </cell>
          <cell r="I80">
            <v>6.93659101570749</v>
          </cell>
          <cell r="J80">
            <v>0.703026256964009</v>
          </cell>
          <cell r="K80">
            <v>15.2722353229774</v>
          </cell>
        </row>
        <row r="81">
          <cell r="H81">
            <v>4.48184243368503</v>
          </cell>
          <cell r="I81">
            <v>5.04138502672882</v>
          </cell>
          <cell r="J81">
            <v>4.089944865109</v>
          </cell>
          <cell r="K81">
            <v>-3.46230668071975</v>
          </cell>
        </row>
        <row r="82">
          <cell r="H82">
            <v>6.37264163333811</v>
          </cell>
          <cell r="I82">
            <v>4.12957257162691</v>
          </cell>
          <cell r="J82">
            <v>2.73164924535767</v>
          </cell>
          <cell r="K82">
            <v>-14.8800519888145</v>
          </cell>
        </row>
        <row r="83">
          <cell r="H83">
            <v>-0.109073836565273</v>
          </cell>
          <cell r="I83">
            <v>2.05720666193285</v>
          </cell>
          <cell r="J83">
            <v>-4.10535003141145</v>
          </cell>
          <cell r="K83">
            <v>-13.4710094212785</v>
          </cell>
        </row>
        <row r="84">
          <cell r="H84">
            <v>-2.06698374335313</v>
          </cell>
          <cell r="I84">
            <v>1.61127301488176</v>
          </cell>
          <cell r="J84">
            <v>-12.2986857597353</v>
          </cell>
          <cell r="K84">
            <v>-21.7626193207349</v>
          </cell>
        </row>
        <row r="85">
          <cell r="H85">
            <v>-4.89099749045108</v>
          </cell>
          <cell r="I85">
            <v>1.40745704558502</v>
          </cell>
          <cell r="J85">
            <v>-13.8343341323819</v>
          </cell>
          <cell r="K85">
            <v>-22.5972761266002</v>
          </cell>
        </row>
        <row r="86">
          <cell r="H86">
            <v>-12.2752618018762</v>
          </cell>
          <cell r="I86">
            <v>0.479509988333461</v>
          </cell>
          <cell r="J86">
            <v>-13.1005042076218</v>
          </cell>
          <cell r="K86">
            <v>-19.2203320098154</v>
          </cell>
        </row>
        <row r="87">
          <cell r="H87">
            <v>-4.47112610346917</v>
          </cell>
          <cell r="I87">
            <v>-0.092373383428864</v>
          </cell>
          <cell r="J87">
            <v>-3.58239564186856</v>
          </cell>
          <cell r="K87">
            <v>-13.1205587719702</v>
          </cell>
        </row>
        <row r="88">
          <cell r="H88">
            <v>-7.53146483657477</v>
          </cell>
          <cell r="I88">
            <v>-1.61433739697048</v>
          </cell>
          <cell r="J88">
            <v>-7.067074706917</v>
          </cell>
          <cell r="K88">
            <v>-12.7633633762573</v>
          </cell>
        </row>
        <row r="89">
          <cell r="H89">
            <v>-6.51636227878831</v>
          </cell>
          <cell r="I89">
            <v>-2.36487425232298</v>
          </cell>
          <cell r="J89">
            <v>-6.48400519964636</v>
          </cell>
          <cell r="K89">
            <v>-5.234570151643</v>
          </cell>
        </row>
        <row r="90">
          <cell r="H90">
            <v>-1.08402417548314</v>
          </cell>
          <cell r="I90">
            <v>-2.47993215478395</v>
          </cell>
          <cell r="J90">
            <v>-0.369904326527532</v>
          </cell>
          <cell r="K90">
            <v>-3.84531418490094</v>
          </cell>
        </row>
        <row r="91">
          <cell r="H91">
            <v>-1.14254624300361</v>
          </cell>
          <cell r="I91">
            <v>-3.19847413182192</v>
          </cell>
          <cell r="J91">
            <v>-2.70502436521747</v>
          </cell>
          <cell r="K91">
            <v>4.55727374625745</v>
          </cell>
        </row>
        <row r="92">
          <cell r="H92">
            <v>3.39189173707153</v>
          </cell>
          <cell r="I92">
            <v>-3.8861701035424</v>
          </cell>
          <cell r="J92">
            <v>-0.00986787520029964</v>
          </cell>
          <cell r="K92">
            <v>0.202966954167863</v>
          </cell>
        </row>
        <row r="93">
          <cell r="H93">
            <v>11.3604111973168</v>
          </cell>
          <cell r="I93">
            <v>-2.53985996596808</v>
          </cell>
          <cell r="J93">
            <v>2.21298057698016</v>
          </cell>
          <cell r="K93">
            <v>-2.17981944684958</v>
          </cell>
        </row>
        <row r="94">
          <cell r="H94">
            <v>8.38346807894077</v>
          </cell>
          <cell r="I94">
            <v>-3.03674327382564</v>
          </cell>
          <cell r="J94">
            <v>-4.8863701968292</v>
          </cell>
          <cell r="K94">
            <v>-1.34708686140644</v>
          </cell>
        </row>
        <row r="95">
          <cell r="H95">
            <v>3.88439069521516</v>
          </cell>
          <cell r="I95">
            <v>-2.05486668009728</v>
          </cell>
          <cell r="J95">
            <v>-4.69387944592387</v>
          </cell>
          <cell r="K95">
            <v>2.50164496191965</v>
          </cell>
        </row>
        <row r="96">
          <cell r="H96">
            <v>5.83838852293572</v>
          </cell>
          <cell r="I96">
            <v>-1.49957803849406</v>
          </cell>
          <cell r="J96">
            <v>-0.721501624197771</v>
          </cell>
          <cell r="K96">
            <v>15.9615573730949</v>
          </cell>
        </row>
        <row r="97">
          <cell r="H97">
            <v>11.9318829086043</v>
          </cell>
          <cell r="I97">
            <v>-1.88566445091848</v>
          </cell>
          <cell r="J97">
            <v>6.26719327092293</v>
          </cell>
          <cell r="K97">
            <v>15.9121501489371</v>
          </cell>
        </row>
      </sheetData>
      <sheetData sheetId="2">
        <row r="14">
          <cell r="A14">
            <v>2014</v>
          </cell>
          <cell r="B14">
            <v>0</v>
          </cell>
        </row>
        <row r="15">
          <cell r="A15">
            <v>2015</v>
          </cell>
          <cell r="B15">
            <v>0</v>
          </cell>
        </row>
        <row r="16">
          <cell r="A16">
            <v>2016</v>
          </cell>
          <cell r="B16">
            <v>0</v>
          </cell>
        </row>
        <row r="17">
          <cell r="A17">
            <v>2017</v>
          </cell>
          <cell r="B17">
            <v>0</v>
          </cell>
        </row>
        <row r="18">
          <cell r="A18">
            <v>2018</v>
          </cell>
          <cell r="B18">
            <v>0</v>
          </cell>
        </row>
        <row r="19">
          <cell r="A19">
            <v>2019</v>
          </cell>
          <cell r="B19">
            <v>0</v>
          </cell>
        </row>
        <row r="20">
          <cell r="A20">
            <v>2020</v>
          </cell>
          <cell r="B20">
            <v>0</v>
          </cell>
        </row>
        <row r="21">
          <cell r="A21">
            <v>2021</v>
          </cell>
          <cell r="B21">
            <v>0</v>
          </cell>
        </row>
        <row r="22">
          <cell r="A22">
            <v>2022</v>
          </cell>
          <cell r="B22">
            <v>0</v>
          </cell>
        </row>
        <row r="23">
          <cell r="A23">
            <v>2023</v>
          </cell>
          <cell r="B23">
            <v>0</v>
          </cell>
        </row>
        <row r="24">
          <cell r="A24">
            <v>2024</v>
          </cell>
          <cell r="B24">
            <v>0</v>
          </cell>
        </row>
        <row r="25">
          <cell r="A25">
            <v>2025</v>
          </cell>
          <cell r="B25">
            <v>0</v>
          </cell>
        </row>
        <row r="26">
          <cell r="A26">
            <v>2026</v>
          </cell>
          <cell r="B26">
            <v>0</v>
          </cell>
        </row>
        <row r="44">
          <cell r="E44">
            <v>41685</v>
          </cell>
        </row>
        <row r="45">
          <cell r="E45">
            <v>41774</v>
          </cell>
        </row>
        <row r="46">
          <cell r="E46">
            <v>41866</v>
          </cell>
        </row>
        <row r="47">
          <cell r="E47">
            <v>41958</v>
          </cell>
        </row>
        <row r="48">
          <cell r="E48">
            <v>42050</v>
          </cell>
        </row>
        <row r="49">
          <cell r="E49">
            <v>42139</v>
          </cell>
        </row>
        <row r="50">
          <cell r="E50">
            <v>42231</v>
          </cell>
        </row>
        <row r="51">
          <cell r="E51">
            <v>42323</v>
          </cell>
        </row>
        <row r="52">
          <cell r="E52">
            <v>42415</v>
          </cell>
        </row>
        <row r="53">
          <cell r="E53">
            <v>42505</v>
          </cell>
        </row>
        <row r="54">
          <cell r="E54">
            <v>42597</v>
          </cell>
        </row>
        <row r="55">
          <cell r="E55">
            <v>42689</v>
          </cell>
        </row>
        <row r="56">
          <cell r="E56">
            <v>42781</v>
          </cell>
        </row>
        <row r="57">
          <cell r="E57">
            <v>42870</v>
          </cell>
        </row>
        <row r="58">
          <cell r="E58">
            <v>42962</v>
          </cell>
        </row>
        <row r="59">
          <cell r="E59">
            <v>43054</v>
          </cell>
        </row>
        <row r="60">
          <cell r="E60">
            <v>43146</v>
          </cell>
        </row>
        <row r="61">
          <cell r="E61">
            <v>43235</v>
          </cell>
        </row>
        <row r="62">
          <cell r="E62">
            <v>43327</v>
          </cell>
        </row>
        <row r="63">
          <cell r="E63">
            <v>43419</v>
          </cell>
        </row>
        <row r="64">
          <cell r="E64">
            <v>43511</v>
          </cell>
        </row>
        <row r="65">
          <cell r="E65">
            <v>43600</v>
          </cell>
        </row>
        <row r="66">
          <cell r="E66">
            <v>43692</v>
          </cell>
        </row>
        <row r="67">
          <cell r="E67">
            <v>43784</v>
          </cell>
        </row>
        <row r="68">
          <cell r="E68">
            <v>43876</v>
          </cell>
        </row>
        <row r="69">
          <cell r="E69">
            <v>43966</v>
          </cell>
        </row>
        <row r="70">
          <cell r="E70">
            <v>44058</v>
          </cell>
        </row>
        <row r="71">
          <cell r="E71">
            <v>44150</v>
          </cell>
        </row>
        <row r="72">
          <cell r="E72">
            <v>44242</v>
          </cell>
        </row>
        <row r="73">
          <cell r="E73">
            <v>44331</v>
          </cell>
        </row>
        <row r="74">
          <cell r="E74">
            <v>44423</v>
          </cell>
        </row>
        <row r="75">
          <cell r="E75">
            <v>44515</v>
          </cell>
        </row>
        <row r="76">
          <cell r="E76">
            <v>44607</v>
          </cell>
        </row>
        <row r="77">
          <cell r="E77">
            <v>44696</v>
          </cell>
        </row>
        <row r="78">
          <cell r="E78">
            <v>44788</v>
          </cell>
        </row>
        <row r="79">
          <cell r="E79">
            <v>44880</v>
          </cell>
        </row>
        <row r="80">
          <cell r="E80">
            <v>44972</v>
          </cell>
        </row>
        <row r="81">
          <cell r="E81">
            <v>45061</v>
          </cell>
        </row>
        <row r="82">
          <cell r="E82">
            <v>45153</v>
          </cell>
        </row>
        <row r="83">
          <cell r="E83">
            <v>45245</v>
          </cell>
        </row>
        <row r="84">
          <cell r="E84">
            <v>45337</v>
          </cell>
        </row>
        <row r="85">
          <cell r="E85">
            <v>45427</v>
          </cell>
        </row>
        <row r="86">
          <cell r="E86">
            <v>45519</v>
          </cell>
        </row>
        <row r="87">
          <cell r="E87">
            <v>45611</v>
          </cell>
        </row>
        <row r="88">
          <cell r="E88">
            <v>45703</v>
          </cell>
        </row>
        <row r="89">
          <cell r="E89">
            <v>45792</v>
          </cell>
        </row>
        <row r="90">
          <cell r="E90">
            <v>45884</v>
          </cell>
        </row>
        <row r="91">
          <cell r="E91">
            <v>45976</v>
          </cell>
        </row>
        <row r="92">
          <cell r="E92">
            <v>46068</v>
          </cell>
        </row>
        <row r="93">
          <cell r="E93">
            <v>46157</v>
          </cell>
        </row>
        <row r="94">
          <cell r="E94">
            <v>46249</v>
          </cell>
        </row>
        <row r="95">
          <cell r="E95">
            <v>46341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K89"/>
  <sheetViews>
    <sheetView showGridLines="0" zoomScale="85" zoomScaleNormal="85" workbookViewId="0">
      <pane xSplit="9" ySplit="11" topLeftCell="J12" activePane="bottomRight" state="frozen"/>
      <selection pane="topRight" activeCell="J1" sqref="J1"/>
      <selection pane="bottomLeft" activeCell="A12" sqref="A12"/>
      <selection pane="bottomRight" activeCell="L12" sqref="L12"/>
    </sheetView>
  </sheetViews>
  <sheetFormatPr defaultColWidth="9" defaultRowHeight="16.8"/>
  <cols>
    <col min="1" max="3" width="9.14285714285714" style="80" hidden="1" customWidth="1" outlineLevel="1"/>
    <col min="4" max="4" width="2.85714285714286" style="80" customWidth="1" collapsed="1"/>
    <col min="5" max="5" width="9.14285714285714" style="80"/>
    <col min="6" max="6" width="62" style="80" customWidth="1"/>
    <col min="7" max="7" width="36" style="81" customWidth="1"/>
    <col min="8" max="8" width="14.8571428571429" style="80" customWidth="1"/>
    <col min="9" max="9" width="9.71428571428571" style="80" customWidth="1"/>
    <col min="10" max="11" width="15.1428571428571" style="80" hidden="1" customWidth="1" outlineLevel="1"/>
    <col min="12" max="12" width="15.1428571428571" style="80" customWidth="1" collapsed="1"/>
    <col min="13" max="14" width="12.1428571428571" style="80" hidden="1" customWidth="1" outlineLevel="1"/>
    <col min="15" max="15" width="15.7142857142857" style="80" customWidth="1" collapsed="1"/>
    <col min="16" max="17" width="15.7142857142857" style="80" hidden="1" customWidth="1" outlineLevel="1"/>
    <col min="18" max="18" width="15.7142857142857" style="80" customWidth="1" collapsed="1"/>
    <col min="19" max="20" width="15.7142857142857" style="80" hidden="1" customWidth="1" outlineLevel="1"/>
    <col min="21" max="21" width="15.7142857142857" style="80" customWidth="1" collapsed="1"/>
    <col min="22" max="23" width="15.7142857142857" style="80" hidden="1" customWidth="1" outlineLevel="1"/>
    <col min="24" max="24" width="15.7142857142857" style="80" customWidth="1" collapsed="1"/>
    <col min="25" max="26" width="15.7142857142857" style="80" hidden="1" customWidth="1" outlineLevel="1"/>
    <col min="27" max="27" width="15.7142857142857" style="80" customWidth="1" collapsed="1"/>
    <col min="28" max="29" width="15.7142857142857" style="80" hidden="1" customWidth="1" outlineLevel="1"/>
    <col min="30" max="30" width="15.7142857142857" style="80" customWidth="1" collapsed="1"/>
    <col min="31" max="32" width="15.7142857142857" style="80" hidden="1" customWidth="1" outlineLevel="1"/>
    <col min="33" max="33" width="15.7142857142857" style="80" customWidth="1" collapsed="1"/>
    <col min="34" max="35" width="15.7142857142857" style="80" hidden="1" customWidth="1" outlineLevel="1"/>
    <col min="36" max="36" width="15.7142857142857" style="80" customWidth="1" collapsed="1"/>
    <col min="37" max="38" width="15.7142857142857" style="80" hidden="1" customWidth="1" outlineLevel="1"/>
    <col min="39" max="39" width="15.7142857142857" style="80" customWidth="1" collapsed="1"/>
    <col min="40" max="41" width="15.7142857142857" style="80" hidden="1" customWidth="1" outlineLevel="1"/>
    <col min="42" max="42" width="15.7142857142857" style="80" customWidth="1" collapsed="1"/>
    <col min="43" max="44" width="15.7142857142857" style="80" hidden="1" customWidth="1" outlineLevel="1"/>
    <col min="45" max="45" width="15.7142857142857" style="80" customWidth="1" collapsed="1"/>
    <col min="46" max="47" width="15.7142857142857" style="80" hidden="1" customWidth="1" outlineLevel="1"/>
    <col min="48" max="48" width="15.7142857142857" style="80" customWidth="1" collapsed="1"/>
    <col min="49" max="50" width="15.7142857142857" style="80" hidden="1" customWidth="1" outlineLevel="1"/>
    <col min="51" max="51" width="15.7142857142857" style="80" customWidth="1" collapsed="1"/>
    <col min="52" max="53" width="15.7142857142857" style="80" hidden="1" customWidth="1" outlineLevel="1"/>
    <col min="54" max="54" width="15.7142857142857" style="80" customWidth="1" collapsed="1"/>
    <col min="55" max="56" width="15.7142857142857" style="80" hidden="1" customWidth="1" outlineLevel="1"/>
    <col min="57" max="57" width="15.7142857142857" style="80" customWidth="1" collapsed="1"/>
    <col min="58" max="59" width="15.7142857142857" style="80" hidden="1" customWidth="1" outlineLevel="1"/>
    <col min="60" max="60" width="15.7142857142857" style="80" customWidth="1" collapsed="1"/>
    <col min="61" max="62" width="15.7142857142857" style="80" hidden="1" customWidth="1" outlineLevel="1"/>
    <col min="63" max="63" width="15.7142857142857" style="80" customWidth="1" collapsed="1"/>
    <col min="64" max="16369" width="9.14285714285714" style="80"/>
    <col min="16370" max="16384" width="9" style="80"/>
  </cols>
  <sheetData>
    <row r="1" hidden="1" outlineLevel="1" spans="1:63">
      <c r="A1" s="75"/>
      <c r="B1" s="75"/>
      <c r="C1" s="75"/>
      <c r="E1" s="75"/>
      <c r="F1" s="75"/>
      <c r="G1" s="82"/>
      <c r="H1" s="83"/>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row>
    <row r="2" hidden="1" outlineLevel="1" spans="1:63">
      <c r="A2" s="75"/>
      <c r="B2" s="75"/>
      <c r="C2" s="75"/>
      <c r="E2" s="75"/>
      <c r="F2" s="75"/>
      <c r="G2" s="82"/>
      <c r="H2" s="83"/>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row>
    <row r="3" hidden="1" outlineLevel="2" spans="1:63">
      <c r="A3" s="75"/>
      <c r="B3" s="75"/>
      <c r="C3" s="75"/>
      <c r="E3" s="75"/>
      <c r="F3" s="84" t="s">
        <v>0</v>
      </c>
      <c r="G3" s="82"/>
      <c r="H3" s="85">
        <v>1.2</v>
      </c>
      <c r="I3" s="86"/>
      <c r="J3" s="87" t="s">
        <v>1</v>
      </c>
      <c r="K3" s="87" t="s">
        <v>1</v>
      </c>
      <c r="L3" s="87" t="s">
        <v>1</v>
      </c>
      <c r="M3" s="87" t="str">
        <f>TEXT(EOMONTH(DATE(LEFT(L3,4),RIGHT(L3,2),1),-1),"yyyy-mm")</f>
        <v>2026-06</v>
      </c>
      <c r="N3" s="87" t="str">
        <f>M3</f>
        <v>2026-06</v>
      </c>
      <c r="O3" s="87" t="str">
        <f>N3</f>
        <v>2026-06</v>
      </c>
      <c r="P3" s="87" t="str">
        <f>TEXT(EOMONTH(DATE(LEFT(O3,4),RIGHT(O3,2),1),-1),"yyyy-mm")</f>
        <v>2026-05</v>
      </c>
      <c r="Q3" s="87" t="str">
        <f>P3</f>
        <v>2026-05</v>
      </c>
      <c r="R3" s="87" t="str">
        <f>Q3</f>
        <v>2026-05</v>
      </c>
      <c r="S3" s="87" t="str">
        <f>TEXT(EOMONTH(DATE(LEFT(R3,4),RIGHT(R3,2),1),-1),"yyyy-mm")</f>
        <v>2026-04</v>
      </c>
      <c r="T3" s="87" t="str">
        <f>S3</f>
        <v>2026-04</v>
      </c>
      <c r="U3" s="87" t="str">
        <f>T3</f>
        <v>2026-04</v>
      </c>
      <c r="V3" s="87" t="str">
        <f>TEXT(EOMONTH(DATE(LEFT(U3,4),RIGHT(U3,2),1),-1),"yyyy-mm")</f>
        <v>2026-03</v>
      </c>
      <c r="W3" s="87" t="str">
        <f>V3</f>
        <v>2026-03</v>
      </c>
      <c r="X3" s="87" t="str">
        <f>W3</f>
        <v>2026-03</v>
      </c>
      <c r="Y3" s="87" t="str">
        <f>TEXT(EOMONTH(DATE(LEFT(X3,4),RIGHT(X3,2),1),-1),"yyyy-mm")</f>
        <v>2026-02</v>
      </c>
      <c r="Z3" s="87" t="str">
        <f>Y3</f>
        <v>2026-02</v>
      </c>
      <c r="AA3" s="87" t="str">
        <f>Z3</f>
        <v>2026-02</v>
      </c>
      <c r="AB3" s="87" t="str">
        <f>TEXT(EOMONTH(DATE(LEFT(AA3,4),RIGHT(AA3,2),1),-1),"yyyy-mm")</f>
        <v>2026-01</v>
      </c>
      <c r="AC3" s="87" t="str">
        <f>AB3</f>
        <v>2026-01</v>
      </c>
      <c r="AD3" s="87" t="str">
        <f>AC3</f>
        <v>2026-01</v>
      </c>
      <c r="AE3" s="87" t="str">
        <f>TEXT(EOMONTH(DATE(LEFT(AD3,4),RIGHT(AD3,2),1),-1),"yyyy-mm")</f>
        <v>2025-12</v>
      </c>
      <c r="AF3" s="87" t="str">
        <f>AE3</f>
        <v>2025-12</v>
      </c>
      <c r="AG3" s="87" t="str">
        <f>AF3</f>
        <v>2025-12</v>
      </c>
      <c r="AH3" s="87" t="str">
        <f>TEXT(EOMONTH(DATE(LEFT(AG3,4),RIGHT(AG3,2),1),-1),"yyyy-mm")</f>
        <v>2025-11</v>
      </c>
      <c r="AI3" s="87" t="str">
        <f>AH3</f>
        <v>2025-11</v>
      </c>
      <c r="AJ3" s="87" t="str">
        <f>AI3</f>
        <v>2025-11</v>
      </c>
      <c r="AK3" s="87" t="str">
        <f>TEXT(EOMONTH(DATE(LEFT(AJ3,4),RIGHT(AJ3,2),1),-1),"yyyy-mm")</f>
        <v>2025-10</v>
      </c>
      <c r="AL3" s="87" t="str">
        <f>AK3</f>
        <v>2025-10</v>
      </c>
      <c r="AM3" s="87" t="str">
        <f>AL3</f>
        <v>2025-10</v>
      </c>
      <c r="AN3" s="87" t="str">
        <f>TEXT(EOMONTH(DATE(LEFT(AM3,4),RIGHT(AM3,2),1),-1),"yyyy-mm")</f>
        <v>2025-09</v>
      </c>
      <c r="AO3" s="87" t="str">
        <f>AN3</f>
        <v>2025-09</v>
      </c>
      <c r="AP3" s="87" t="str">
        <f>AO3</f>
        <v>2025-09</v>
      </c>
      <c r="AQ3" s="87" t="str">
        <f>TEXT(EOMONTH(DATE(LEFT(AP3,4),RIGHT(AP3,2),1),-1),"yyyy-mm")</f>
        <v>2025-08</v>
      </c>
      <c r="AR3" s="87" t="str">
        <f>AQ3</f>
        <v>2025-08</v>
      </c>
      <c r="AS3" s="87" t="str">
        <f>AR3</f>
        <v>2025-08</v>
      </c>
      <c r="AT3" s="87" t="str">
        <f>TEXT(EOMONTH(DATE(LEFT(AS3,4),RIGHT(AS3,2),1),-1),"yyyy-mm")</f>
        <v>2025-07</v>
      </c>
      <c r="AU3" s="87" t="str">
        <f>AT3</f>
        <v>2025-07</v>
      </c>
      <c r="AV3" s="87" t="str">
        <f>AU3</f>
        <v>2025-07</v>
      </c>
      <c r="AW3" s="87" t="str">
        <f>TEXT(EOMONTH(DATE(LEFT(AV3,4),RIGHT(AV3,2),1),-1),"yyyy-mm")</f>
        <v>2025-06</v>
      </c>
      <c r="AX3" s="87" t="str">
        <f>AW3</f>
        <v>2025-06</v>
      </c>
      <c r="AY3" s="87" t="str">
        <f>AX3</f>
        <v>2025-06</v>
      </c>
      <c r="AZ3" s="87" t="s">
        <v>2</v>
      </c>
      <c r="BA3" s="87" t="str">
        <f>AZ3</f>
        <v>2024-00</v>
      </c>
      <c r="BB3" s="87" t="str">
        <f>BA3</f>
        <v>2024-00</v>
      </c>
      <c r="BC3" s="87" t="s">
        <v>3</v>
      </c>
      <c r="BD3" s="87" t="str">
        <f>BC3</f>
        <v>2023-00</v>
      </c>
      <c r="BE3" s="87" t="str">
        <f>BD3</f>
        <v>2023-00</v>
      </c>
      <c r="BF3" s="87" t="s">
        <v>4</v>
      </c>
      <c r="BG3" s="87" t="str">
        <f>BF3</f>
        <v>2022-00</v>
      </c>
      <c r="BH3" s="87" t="str">
        <f>BG3</f>
        <v>2022-00</v>
      </c>
      <c r="BI3" s="87" t="s">
        <v>5</v>
      </c>
      <c r="BJ3" s="87" t="str">
        <f>BI3</f>
        <v>2021-00</v>
      </c>
      <c r="BK3" s="87" t="str">
        <f>BJ3</f>
        <v>2021-00</v>
      </c>
    </row>
    <row r="4" hidden="1" outlineLevel="2" spans="1:63">
      <c r="A4" s="75"/>
      <c r="B4" s="75"/>
      <c r="C4" s="75"/>
      <c r="E4" s="75"/>
      <c r="F4" s="157" t="s">
        <v>6</v>
      </c>
      <c r="G4" s="82"/>
      <c r="H4" s="85" t="s">
        <v>7</v>
      </c>
      <c r="I4" s="86"/>
      <c r="J4" s="87" t="str">
        <f>J3</f>
        <v>2026-07</v>
      </c>
      <c r="K4" s="87" t="str">
        <f t="shared" ref="K4:BK4" si="0">K3</f>
        <v>2026-07</v>
      </c>
      <c r="L4" s="87" t="str">
        <f t="shared" si="0"/>
        <v>2026-07</v>
      </c>
      <c r="M4" s="87" t="str">
        <f t="shared" si="0"/>
        <v>2026-06</v>
      </c>
      <c r="N4" s="87" t="str">
        <f t="shared" si="0"/>
        <v>2026-06</v>
      </c>
      <c r="O4" s="87" t="str">
        <f t="shared" si="0"/>
        <v>2026-06</v>
      </c>
      <c r="P4" s="87" t="str">
        <f t="shared" si="0"/>
        <v>2026-05</v>
      </c>
      <c r="Q4" s="87" t="str">
        <f t="shared" si="0"/>
        <v>2026-05</v>
      </c>
      <c r="R4" s="87" t="str">
        <f t="shared" si="0"/>
        <v>2026-05</v>
      </c>
      <c r="S4" s="87" t="str">
        <f t="shared" si="0"/>
        <v>2026-04</v>
      </c>
      <c r="T4" s="87" t="str">
        <f t="shared" si="0"/>
        <v>2026-04</v>
      </c>
      <c r="U4" s="87" t="str">
        <f t="shared" si="0"/>
        <v>2026-04</v>
      </c>
      <c r="V4" s="87" t="str">
        <f t="shared" si="0"/>
        <v>2026-03</v>
      </c>
      <c r="W4" s="87" t="str">
        <f t="shared" si="0"/>
        <v>2026-03</v>
      </c>
      <c r="X4" s="87" t="str">
        <f t="shared" si="0"/>
        <v>2026-03</v>
      </c>
      <c r="Y4" s="87" t="str">
        <f t="shared" si="0"/>
        <v>2026-02</v>
      </c>
      <c r="Z4" s="87" t="str">
        <f t="shared" si="0"/>
        <v>2026-02</v>
      </c>
      <c r="AA4" s="87" t="str">
        <f t="shared" si="0"/>
        <v>2026-02</v>
      </c>
      <c r="AB4" s="87" t="str">
        <f t="shared" si="0"/>
        <v>2026-01</v>
      </c>
      <c r="AC4" s="87" t="str">
        <f t="shared" si="0"/>
        <v>2026-01</v>
      </c>
      <c r="AD4" s="87" t="str">
        <f t="shared" si="0"/>
        <v>2026-01</v>
      </c>
      <c r="AE4" s="87" t="str">
        <f t="shared" si="0"/>
        <v>2025-12</v>
      </c>
      <c r="AF4" s="87" t="str">
        <f t="shared" si="0"/>
        <v>2025-12</v>
      </c>
      <c r="AG4" s="87" t="str">
        <f t="shared" si="0"/>
        <v>2025-12</v>
      </c>
      <c r="AH4" s="87" t="str">
        <f t="shared" si="0"/>
        <v>2025-11</v>
      </c>
      <c r="AI4" s="87" t="str">
        <f t="shared" si="0"/>
        <v>2025-11</v>
      </c>
      <c r="AJ4" s="87" t="str">
        <f t="shared" si="0"/>
        <v>2025-11</v>
      </c>
      <c r="AK4" s="87" t="str">
        <f t="shared" si="0"/>
        <v>2025-10</v>
      </c>
      <c r="AL4" s="87" t="str">
        <f t="shared" si="0"/>
        <v>2025-10</v>
      </c>
      <c r="AM4" s="87" t="str">
        <f t="shared" si="0"/>
        <v>2025-10</v>
      </c>
      <c r="AN4" s="87" t="str">
        <f t="shared" si="0"/>
        <v>2025-09</v>
      </c>
      <c r="AO4" s="87" t="str">
        <f t="shared" si="0"/>
        <v>2025-09</v>
      </c>
      <c r="AP4" s="87" t="str">
        <f t="shared" si="0"/>
        <v>2025-09</v>
      </c>
      <c r="AQ4" s="87" t="str">
        <f t="shared" si="0"/>
        <v>2025-08</v>
      </c>
      <c r="AR4" s="87" t="str">
        <f t="shared" si="0"/>
        <v>2025-08</v>
      </c>
      <c r="AS4" s="87" t="str">
        <f t="shared" si="0"/>
        <v>2025-08</v>
      </c>
      <c r="AT4" s="87" t="str">
        <f t="shared" si="0"/>
        <v>2025-07</v>
      </c>
      <c r="AU4" s="87" t="str">
        <f t="shared" si="0"/>
        <v>2025-07</v>
      </c>
      <c r="AV4" s="87" t="str">
        <f t="shared" si="0"/>
        <v>2025-07</v>
      </c>
      <c r="AW4" s="87" t="str">
        <f t="shared" si="0"/>
        <v>2025-06</v>
      </c>
      <c r="AX4" s="87" t="str">
        <f t="shared" si="0"/>
        <v>2025-06</v>
      </c>
      <c r="AY4" s="87" t="str">
        <f t="shared" si="0"/>
        <v>2025-06</v>
      </c>
      <c r="AZ4" s="87" t="s">
        <v>8</v>
      </c>
      <c r="BA4" s="87" t="s">
        <v>8</v>
      </c>
      <c r="BB4" s="87" t="s">
        <v>8</v>
      </c>
      <c r="BC4" s="87" t="s">
        <v>9</v>
      </c>
      <c r="BD4" s="87" t="s">
        <v>9</v>
      </c>
      <c r="BE4" s="87" t="s">
        <v>9</v>
      </c>
      <c r="BF4" s="87" t="s">
        <v>10</v>
      </c>
      <c r="BG4" s="87" t="s">
        <v>10</v>
      </c>
      <c r="BH4" s="87" t="s">
        <v>10</v>
      </c>
      <c r="BI4" s="87" t="s">
        <v>11</v>
      </c>
      <c r="BJ4" s="87" t="s">
        <v>11</v>
      </c>
      <c r="BK4" s="87" t="s">
        <v>11</v>
      </c>
    </row>
    <row r="5" hidden="1" outlineLevel="2" spans="1:63">
      <c r="A5" s="75"/>
      <c r="B5" s="75"/>
      <c r="C5" s="75"/>
      <c r="E5" s="75"/>
      <c r="F5" s="75"/>
      <c r="G5" s="82"/>
      <c r="H5" s="85"/>
      <c r="I5" s="86"/>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row>
    <row r="6" hidden="1" outlineLevel="2" spans="1:63">
      <c r="A6" s="75"/>
      <c r="B6" s="75"/>
      <c r="C6" s="75"/>
      <c r="E6" s="75"/>
      <c r="F6" s="75"/>
      <c r="G6" s="89"/>
      <c r="H6" s="90"/>
      <c r="I6" s="91"/>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row>
    <row r="7" hidden="1" outlineLevel="1" collapsed="1" spans="1:63">
      <c r="A7" s="92"/>
      <c r="B7" s="92"/>
      <c r="C7" s="92"/>
      <c r="E7" s="92"/>
      <c r="F7" s="92"/>
      <c r="G7" s="93"/>
      <c r="H7" s="94"/>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row>
    <row r="8" s="78" customFormat="1" hidden="1" outlineLevel="1" spans="1:63">
      <c r="F8" s="95"/>
      <c r="G8" s="96"/>
      <c r="H8" s="97"/>
    </row>
    <row r="9" s="78" customFormat="1" collapsed="1" spans="1:63" ht="26" customHeight="1">
      <c r="A9" s="183"/>
      <c r="B9" s="183"/>
      <c r="C9" s="183"/>
      <c r="D9" s="184"/>
      <c r="E9" s="184"/>
      <c r="F9" s="185" t="s">
        <v>12</v>
      </c>
      <c r="G9" s="184"/>
      <c r="H9" s="184"/>
      <c r="I9" s="184"/>
      <c r="J9" s="184"/>
      <c r="K9" s="184"/>
      <c r="L9" s="184"/>
      <c r="M9" s="184"/>
      <c r="N9" s="184"/>
      <c r="O9" s="184"/>
      <c r="P9" s="184"/>
      <c r="Q9" s="184"/>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4"/>
      <c r="AR9" s="184"/>
      <c r="AS9" s="184"/>
      <c r="AT9" s="184"/>
      <c r="AU9" s="184"/>
      <c r="AV9" s="184"/>
      <c r="AW9" s="184"/>
      <c r="AX9" s="184"/>
      <c r="AY9" s="184"/>
      <c r="AZ9" s="184"/>
      <c r="BA9" s="184"/>
      <c r="BB9" s="184"/>
      <c r="BC9" s="184"/>
      <c r="BD9" s="184"/>
      <c r="BE9" s="184"/>
      <c r="BF9" s="184"/>
      <c r="BG9" s="184"/>
      <c r="BH9" s="184"/>
      <c r="BI9" s="184"/>
      <c r="BJ9" s="184"/>
      <c r="BK9" s="184"/>
    </row>
    <row r="10" s="78" customFormat="1" spans="1:63" ht="21" customHeight="1">
      <c r="A10" s="183"/>
      <c r="B10" s="183"/>
      <c r="C10" s="183"/>
      <c r="D10" s="186"/>
      <c r="E10" s="186"/>
      <c r="F10" s="187" t="s">
        <v>13</v>
      </c>
      <c r="G10" s="187"/>
      <c r="H10" s="186"/>
      <c r="I10" s="186"/>
      <c r="J10" s="186"/>
      <c r="K10" s="186"/>
      <c r="L10" s="186" t="str">
        <f>TEXT(DATE(LEFT(L3,4),RIGHT(L3,2),1),"[$-en-US]mmmm yyyy")</f>
        <v>July 2026</v>
      </c>
      <c r="M10" s="186"/>
      <c r="N10" s="186"/>
      <c r="O10" s="186" t="str">
        <f>TEXT(DATE(LEFT(O3,4),RIGHT(O3,2),1),"[$-en-US]mmmm yyyy")</f>
        <v>June 2026</v>
      </c>
      <c r="P10" s="186"/>
      <c r="Q10" s="186"/>
      <c r="R10" s="186" t="str">
        <f>TEXT(DATE(LEFT(R3,4),RIGHT(R3,2),1),"[$-en-US]mmmm yyyy")</f>
        <v>May 2026</v>
      </c>
      <c r="S10" s="186"/>
      <c r="T10" s="186"/>
      <c r="U10" s="186" t="str">
        <f>TEXT(DATE(LEFT(U3,4),RIGHT(U3,2),1),"[$-en-US]mmmm yyyy")</f>
        <v>April 2026</v>
      </c>
      <c r="V10" s="186"/>
      <c r="W10" s="186"/>
      <c r="X10" s="186" t="str">
        <f>TEXT(DATE(LEFT(X3,4),RIGHT(X3,2),1),"[$-en-US]mmmm yyyy")</f>
        <v>March 2026</v>
      </c>
      <c r="Y10" s="186"/>
      <c r="Z10" s="186"/>
      <c r="AA10" s="186" t="str">
        <f>TEXT(DATE(LEFT(AA3,4),RIGHT(AA3,2),1),"[$-en-US]mmmm yyyy")</f>
        <v>February 2026</v>
      </c>
      <c r="AB10" s="186"/>
      <c r="AC10" s="186"/>
      <c r="AD10" s="186" t="str">
        <f>TEXT(DATE(LEFT(AD3,4),RIGHT(AD3,2),1),"[$-en-US]mmmm yyyy")</f>
        <v>January 2026</v>
      </c>
      <c r="AE10" s="186"/>
      <c r="AF10" s="186"/>
      <c r="AG10" s="186" t="str">
        <f>TEXT(DATE(LEFT(AG3,4),RIGHT(AG3,2),1),"[$-en-US]mmmm yyyy")</f>
        <v>December 2025</v>
      </c>
      <c r="AH10" s="186"/>
      <c r="AI10" s="186"/>
      <c r="AJ10" s="186" t="str">
        <f>TEXT(DATE(LEFT(AJ3,4),RIGHT(AJ3,2),1),"[$-en-US]mmmm yyyy")</f>
        <v>November 2025</v>
      </c>
      <c r="AK10" s="186"/>
      <c r="AL10" s="186"/>
      <c r="AM10" s="186" t="str">
        <f>TEXT(DATE(LEFT(AM3,4),RIGHT(AM3,2),1),"[$-en-US]mmmm yyyy")</f>
        <v>October 2025</v>
      </c>
      <c r="AN10" s="186"/>
      <c r="AO10" s="186"/>
      <c r="AP10" s="186" t="str">
        <f>TEXT(DATE(LEFT(AP3,4),RIGHT(AP3,2),1),"[$-en-US]mmmm yyyy")</f>
        <v>September 2025</v>
      </c>
      <c r="AQ10" s="186"/>
      <c r="AR10" s="186"/>
      <c r="AS10" s="186" t="str">
        <f>TEXT(DATE(LEFT(AS3,4),RIGHT(AS3,2),1),"[$-en-US]mmmm yyyy")</f>
        <v>August 2025</v>
      </c>
      <c r="AT10" s="186"/>
      <c r="AU10" s="186"/>
      <c r="AV10" s="186" t="str">
        <f>TEXT(DATE(LEFT(AV3,4),RIGHT(AV3,2),1),"[$-en-US]mmmm yyyy")</f>
        <v>July 2025</v>
      </c>
      <c r="AW10" s="186"/>
      <c r="AX10" s="186"/>
      <c r="AY10" s="186" t="str">
        <f>TEXT(DATE(LEFT(AY3,4),RIGHT(AY3,2),1),"[$-en-US]mmmm yyyy")</f>
        <v>June 2025</v>
      </c>
      <c r="AZ10" s="186"/>
      <c r="BA10" s="186"/>
      <c r="BB10" s="186" t="s">
        <v>14</v>
      </c>
      <c r="BC10" s="186"/>
      <c r="BD10" s="186"/>
      <c r="BE10" s="186" t="s">
        <v>15</v>
      </c>
      <c r="BF10" s="186"/>
      <c r="BG10" s="186"/>
      <c r="BH10" s="186" t="s">
        <v>16</v>
      </c>
      <c r="BI10" s="186"/>
      <c r="BJ10" s="186"/>
      <c r="BK10" s="186" t="s">
        <v>17</v>
      </c>
    </row>
    <row r="11" s="79" customFormat="1" spans="1:63" ht="21" customHeight="1">
      <c r="A11" s="183"/>
      <c r="B11" s="183"/>
      <c r="C11" s="183"/>
      <c r="D11" s="188"/>
      <c r="E11" s="189"/>
      <c r="F11" s="189" t="s">
        <v>0</v>
      </c>
      <c r="G11" s="189"/>
      <c r="H11" s="188" t="s">
        <v>18</v>
      </c>
      <c r="I11" s="188" t="s">
        <v>19</v>
      </c>
      <c r="J11" s="188" t="s">
        <v>20</v>
      </c>
      <c r="K11" s="188" t="s">
        <v>21</v>
      </c>
      <c r="L11" s="188" t="s">
        <v>22</v>
      </c>
      <c r="M11" s="188" t="s">
        <v>20</v>
      </c>
      <c r="N11" s="188" t="s">
        <v>21</v>
      </c>
      <c r="O11" s="188" t="s">
        <v>22</v>
      </c>
      <c r="P11" s="188" t="s">
        <v>20</v>
      </c>
      <c r="Q11" s="188" t="s">
        <v>21</v>
      </c>
      <c r="R11" s="188" t="s">
        <v>22</v>
      </c>
      <c r="S11" s="188" t="s">
        <v>20</v>
      </c>
      <c r="T11" s="188" t="s">
        <v>21</v>
      </c>
      <c r="U11" s="188" t="s">
        <v>22</v>
      </c>
      <c r="V11" s="188" t="s">
        <v>20</v>
      </c>
      <c r="W11" s="188" t="s">
        <v>21</v>
      </c>
      <c r="X11" s="188" t="s">
        <v>22</v>
      </c>
      <c r="Y11" s="188" t="s">
        <v>20</v>
      </c>
      <c r="Z11" s="188" t="s">
        <v>21</v>
      </c>
      <c r="AA11" s="188" t="s">
        <v>22</v>
      </c>
      <c r="AB11" s="188" t="s">
        <v>20</v>
      </c>
      <c r="AC11" s="188" t="s">
        <v>21</v>
      </c>
      <c r="AD11" s="188" t="s">
        <v>22</v>
      </c>
      <c r="AE11" s="188" t="s">
        <v>20</v>
      </c>
      <c r="AF11" s="188" t="s">
        <v>21</v>
      </c>
      <c r="AG11" s="188" t="s">
        <v>22</v>
      </c>
      <c r="AH11" s="188" t="s">
        <v>20</v>
      </c>
      <c r="AI11" s="188" t="s">
        <v>21</v>
      </c>
      <c r="AJ11" s="188" t="s">
        <v>22</v>
      </c>
      <c r="AK11" s="188" t="s">
        <v>20</v>
      </c>
      <c r="AL11" s="188" t="s">
        <v>21</v>
      </c>
      <c r="AM11" s="188" t="s">
        <v>22</v>
      </c>
      <c r="AN11" s="188" t="s">
        <v>20</v>
      </c>
      <c r="AO11" s="188" t="s">
        <v>21</v>
      </c>
      <c r="AP11" s="188" t="s">
        <v>22</v>
      </c>
      <c r="AQ11" s="188" t="s">
        <v>20</v>
      </c>
      <c r="AR11" s="188" t="s">
        <v>21</v>
      </c>
      <c r="AS11" s="188" t="s">
        <v>22</v>
      </c>
      <c r="AT11" s="188" t="s">
        <v>20</v>
      </c>
      <c r="AU11" s="188" t="s">
        <v>21</v>
      </c>
      <c r="AV11" s="188" t="s">
        <v>22</v>
      </c>
      <c r="AW11" s="188" t="s">
        <v>20</v>
      </c>
      <c r="AX11" s="188" t="s">
        <v>21</v>
      </c>
      <c r="AY11" s="188" t="s">
        <v>22</v>
      </c>
      <c r="AZ11" s="188" t="s">
        <v>20</v>
      </c>
      <c r="BA11" s="188" t="s">
        <v>21</v>
      </c>
      <c r="BB11" s="188" t="s">
        <v>22</v>
      </c>
      <c r="BC11" s="188" t="s">
        <v>20</v>
      </c>
      <c r="BD11" s="188" t="s">
        <v>21</v>
      </c>
      <c r="BE11" s="188" t="s">
        <v>22</v>
      </c>
      <c r="BF11" s="188" t="s">
        <v>20</v>
      </c>
      <c r="BG11" s="188" t="s">
        <v>21</v>
      </c>
      <c r="BH11" s="188" t="s">
        <v>22</v>
      </c>
      <c r="BI11" s="188" t="s">
        <v>20</v>
      </c>
      <c r="BJ11" s="188" t="s">
        <v>21</v>
      </c>
      <c r="BK11" s="188" t="s">
        <v>22</v>
      </c>
    </row>
    <row r="12" s="79" customFormat="1" spans="1:63" ht="16.5" customHeight="1">
      <c r="A12" s="183"/>
      <c r="B12" s="183"/>
      <c r="C12" s="183" t="s">
        <v>23</v>
      </c>
      <c r="D12" s="190"/>
      <c r="E12" s="190" t="s">
        <v>24</v>
      </c>
      <c r="F12" s="190"/>
      <c r="G12" s="190"/>
      <c r="H12" s="191">
        <f>O12/$O$12</f>
        <v>1</v>
      </c>
      <c r="I12" s="192">
        <f t="shared" ref="I12:I76" si="1">IFERROR(L12/AV12-1,"")</f>
        <v>0.0765113922866205</v>
      </c>
      <c r="J12" s="193"/>
      <c r="K12" s="193"/>
      <c r="L12" s="193">
        <f>INDEX('1.2'!$1:$104,MATCH(L$3,'1.2'!$A:$A,0),MATCH(Summary!$C12,'1.2'!$1:$1,0))</f>
        <v>10809854.196</v>
      </c>
      <c r="M12" s="193"/>
      <c r="N12" s="193"/>
      <c r="O12" s="193">
        <f>INDEX('1.2'!$1:$104,MATCH(M$3,'1.2'!$A:$A,0),MATCH(Summary!$C12,'1.2'!$1:$1,0))</f>
        <v>10787895.712</v>
      </c>
      <c r="P12" s="193"/>
      <c r="Q12" s="193"/>
      <c r="R12" s="193">
        <f>INDEX('1.2'!$1:$104,MATCH(P$3,'1.2'!$A:$A,0),MATCH(Summary!$C12,'1.2'!$1:$1,0))</f>
        <v>10646152.215</v>
      </c>
      <c r="S12" s="193"/>
      <c r="T12" s="193"/>
      <c r="U12" s="193">
        <f>INDEX('1.2'!$1:$104,MATCH(S$3,'1.2'!$A:$A,0),MATCH(Summary!$C12,'1.2'!$1:$1,0))</f>
        <v>10496857.627</v>
      </c>
      <c r="V12" s="193"/>
      <c r="W12" s="193"/>
      <c r="X12" s="193">
        <f>INDEX('1.2'!$1:$104,MATCH(V$3,'1.2'!$A:$A,0),MATCH(Summary!$C12,'1.2'!$1:$1,0))</f>
        <v>10440278.075</v>
      </c>
      <c r="Y12" s="193"/>
      <c r="Z12" s="193"/>
      <c r="AA12" s="193">
        <f>INDEX('1.2'!$1:$104,MATCH(Y$3,'1.2'!$A:$A,0),MATCH(Summary!$C12,'1.2'!$1:$1,0))</f>
        <v>10302289.786</v>
      </c>
      <c r="AB12" s="193"/>
      <c r="AC12" s="193"/>
      <c r="AD12" s="193">
        <f>INDEX('1.2'!$1:$104,MATCH(AB$3,'1.2'!$A:$A,0),MATCH(Summary!$C12,'1.2'!$1:$1,0))</f>
        <v>10245411.477</v>
      </c>
      <c r="AE12" s="193"/>
      <c r="AF12" s="193"/>
      <c r="AG12" s="193">
        <f>INDEX('1.2'!$1:$104,MATCH(AE$3,'1.2'!$A:$A,0),MATCH(Summary!$C12,'1.2'!$1:$1,0))</f>
        <v>10136142.472</v>
      </c>
      <c r="AH12" s="193"/>
      <c r="AI12" s="193"/>
      <c r="AJ12" s="193">
        <f>INDEX('1.2'!$1:$104,MATCH(AH$3,'1.2'!$A:$A,0),MATCH(Summary!$C12,'1.2'!$1:$1,0))</f>
        <v>10002555.776</v>
      </c>
      <c r="AK12" s="193"/>
      <c r="AL12" s="193"/>
      <c r="AM12" s="193">
        <f>INDEX('1.2'!$1:$104,MATCH(AK$3,'1.2'!$A:$A,0),MATCH(Summary!$C12,'1.2'!$1:$1,0))</f>
        <v>9997067.516</v>
      </c>
      <c r="AN12" s="193"/>
      <c r="AO12" s="193"/>
      <c r="AP12" s="193">
        <f>INDEX('1.2'!$1:$104,MATCH(AN$3,'1.2'!$A:$A,0),MATCH(Summary!$C12,'1.2'!$1:$1,0))</f>
        <v>10068576.088</v>
      </c>
      <c r="AQ12" s="193"/>
      <c r="AR12" s="193"/>
      <c r="AS12" s="193">
        <f>INDEX('1.2'!$1:$104,MATCH(AQ$3,'1.2'!$A:$A,0),MATCH(Summary!$C12,'1.2'!$1:$1,0))</f>
        <v>10003516.378</v>
      </c>
      <c r="AT12" s="193"/>
      <c r="AU12" s="193"/>
      <c r="AV12" s="193">
        <f>INDEX('1.2'!$1:$104,MATCH(AT$3,'1.2'!$A:$A,0),MATCH(Summary!$C12,'1.2'!$1:$1,0))</f>
        <v>10041560.427</v>
      </c>
      <c r="AW12" s="193"/>
      <c r="AX12" s="193"/>
      <c r="AY12" s="193">
        <f>INDEX('1.2'!$1:$104,MATCH(AW$3,'1.2'!$A:$A,0),MATCH(Summary!$C12,'1.2'!$1:$1,0))</f>
        <v>10158381.395</v>
      </c>
      <c r="AZ12" s="193"/>
      <c r="BA12" s="193"/>
      <c r="BB12" s="193">
        <f>INDEX('1.2'!$1:$104,MATCH(AZ$3,'1.2'!$A:$A,0),MATCH(Summary!$C12,'1.2'!$1:$1,0))</f>
        <v>9907807.982</v>
      </c>
      <c r="BC12" s="193"/>
      <c r="BD12" s="193"/>
      <c r="BE12" s="193">
        <f>INDEX('1.2'!$1:$104,MATCH(BC$3,'1.2'!$A:$A,0),MATCH(Summary!$C12,'1.2'!$1:$1,0))</f>
        <v>10191315.441</v>
      </c>
      <c r="BF12" s="193"/>
      <c r="BG12" s="193"/>
      <c r="BH12" s="193">
        <f>INDEX('1.2'!$1:$104,MATCH(BF$3,'1.2'!$A:$A,0),MATCH(Summary!$C12,'1.2'!$1:$1,0))</f>
        <v>10571297.745</v>
      </c>
      <c r="BI12" s="193"/>
      <c r="BJ12" s="193"/>
      <c r="BK12" s="193">
        <f>INDEX('1.2'!$1:$104,MATCH(BI$3,'1.2'!$A:$A,0),MATCH(Summary!$C12,'1.2'!$1:$1,0))</f>
        <v>10893147.27</v>
      </c>
    </row>
    <row r="13" s="79" customFormat="1" spans="1:63" ht="16.5" customHeight="1">
      <c r="A13" s="183"/>
      <c r="B13" s="183"/>
      <c r="C13" s="183" t="s">
        <v>25</v>
      </c>
      <c r="D13" s="194"/>
      <c r="E13" s="194" t="s">
        <v>26</v>
      </c>
      <c r="F13" s="194"/>
      <c r="G13" s="194"/>
      <c r="H13" s="195">
        <f t="shared" ref="H13:H76" si="2">O13/$O$12</f>
        <v>0.75040076369993</v>
      </c>
      <c r="I13" s="196">
        <f t="shared" si="1"/>
        <v>0.0651620061763223</v>
      </c>
      <c r="J13" s="197"/>
      <c r="K13" s="197"/>
      <c r="L13" s="197">
        <f>INDEX('1.2'!$1:$104,MATCH(L$3,'1.2'!$A:$A,0),MATCH(Summary!$C13,'1.2'!$1:$1,0))</f>
        <v>8070867.022</v>
      </c>
      <c r="M13" s="197"/>
      <c r="N13" s="197"/>
      <c r="O13" s="197">
        <f>INDEX('1.2'!$1:$104,MATCH(M$3,'1.2'!$A:$A,0),MATCH(Summary!$C13,'1.2'!$1:$1,0))</f>
        <v>8095245.181</v>
      </c>
      <c r="P13" s="197"/>
      <c r="Q13" s="197"/>
      <c r="R13" s="197">
        <f>INDEX('1.2'!$1:$104,MATCH(P$3,'1.2'!$A:$A,0),MATCH(Summary!$C13,'1.2'!$1:$1,0))</f>
        <v>7981206.28</v>
      </c>
      <c r="S13" s="197"/>
      <c r="T13" s="197"/>
      <c r="U13" s="197">
        <f>INDEX('1.2'!$1:$104,MATCH(S$3,'1.2'!$A:$A,0),MATCH(Summary!$C13,'1.2'!$1:$1,0))</f>
        <v>7869195.503</v>
      </c>
      <c r="V13" s="197"/>
      <c r="W13" s="197"/>
      <c r="X13" s="197">
        <f>INDEX('1.2'!$1:$104,MATCH(V$3,'1.2'!$A:$A,0),MATCH(Summary!$C13,'1.2'!$1:$1,0))</f>
        <v>7861821.785</v>
      </c>
      <c r="Y13" s="197"/>
      <c r="Z13" s="197"/>
      <c r="AA13" s="197">
        <f>INDEX('1.2'!$1:$104,MATCH(Y$3,'1.2'!$A:$A,0),MATCH(Summary!$C13,'1.2'!$1:$1,0))</f>
        <v>7721916.892</v>
      </c>
      <c r="AB13" s="197"/>
      <c r="AC13" s="197"/>
      <c r="AD13" s="197">
        <f>INDEX('1.2'!$1:$104,MATCH(AB$3,'1.2'!$A:$A,0),MATCH(Summary!$C13,'1.2'!$1:$1,0))</f>
        <v>7688694.244</v>
      </c>
      <c r="AE13" s="197"/>
      <c r="AF13" s="197"/>
      <c r="AG13" s="197">
        <f>INDEX('1.2'!$1:$104,MATCH(AE$3,'1.2'!$A:$A,0),MATCH(Summary!$C13,'1.2'!$1:$1,0))</f>
        <v>7635305.071</v>
      </c>
      <c r="AH13" s="197"/>
      <c r="AI13" s="197"/>
      <c r="AJ13" s="197">
        <f>INDEX('1.2'!$1:$104,MATCH(AH$3,'1.2'!$A:$A,0),MATCH(Summary!$C13,'1.2'!$1:$1,0))</f>
        <v>7546764.365</v>
      </c>
      <c r="AK13" s="197"/>
      <c r="AL13" s="197"/>
      <c r="AM13" s="197">
        <f>INDEX('1.2'!$1:$104,MATCH(AK$3,'1.2'!$A:$A,0),MATCH(Summary!$C13,'1.2'!$1:$1,0))</f>
        <v>7551750.302</v>
      </c>
      <c r="AN13" s="197"/>
      <c r="AO13" s="197"/>
      <c r="AP13" s="197">
        <f>INDEX('1.2'!$1:$104,MATCH(AN$3,'1.2'!$A:$A,0),MATCH(Summary!$C13,'1.2'!$1:$1,0))</f>
        <v>7617255.615</v>
      </c>
      <c r="AQ13" s="197"/>
      <c r="AR13" s="197"/>
      <c r="AS13" s="197">
        <f>INDEX('1.2'!$1:$104,MATCH(AQ$3,'1.2'!$A:$A,0),MATCH(Summary!$C13,'1.2'!$1:$1,0))</f>
        <v>7570020.563</v>
      </c>
      <c r="AT13" s="197"/>
      <c r="AU13" s="197"/>
      <c r="AV13" s="197">
        <f>INDEX('1.2'!$1:$104,MATCH(AT$3,'1.2'!$A:$A,0),MATCH(Summary!$C13,'1.2'!$1:$1,0))</f>
        <v>7577126.273</v>
      </c>
      <c r="AW13" s="197"/>
      <c r="AX13" s="197"/>
      <c r="AY13" s="197">
        <f>INDEX('1.2'!$1:$104,MATCH(AW$3,'1.2'!$A:$A,0),MATCH(Summary!$C13,'1.2'!$1:$1,0))</f>
        <v>7650101.444</v>
      </c>
      <c r="AZ13" s="197"/>
      <c r="BA13" s="197"/>
      <c r="BB13" s="197">
        <f>INDEX('1.2'!$1:$104,MATCH(AZ$3,'1.2'!$A:$A,0),MATCH(Summary!$C13,'1.2'!$1:$1,0))</f>
        <v>7489982.206</v>
      </c>
      <c r="BC13" s="197"/>
      <c r="BD13" s="197"/>
      <c r="BE13" s="197">
        <f>INDEX('1.2'!$1:$104,MATCH(BC$3,'1.2'!$A:$A,0),MATCH(Summary!$C13,'1.2'!$1:$1,0))</f>
        <v>7627950.886</v>
      </c>
      <c r="BF13" s="197"/>
      <c r="BG13" s="197"/>
      <c r="BH13" s="197">
        <f>INDEX('1.2'!$1:$104,MATCH(BF$3,'1.2'!$A:$A,0),MATCH(Summary!$C13,'1.2'!$1:$1,0))</f>
        <v>7710340.602</v>
      </c>
      <c r="BI13" s="197"/>
      <c r="BJ13" s="197"/>
      <c r="BK13" s="197">
        <f>INDEX('1.2'!$1:$104,MATCH(BI$3,'1.2'!$A:$A,0),MATCH(Summary!$C13,'1.2'!$1:$1,0))</f>
        <v>7712295.503</v>
      </c>
    </row>
    <row r="14" s="79" customFormat="1" spans="1:63" ht="16.5" customHeight="1">
      <c r="A14" s="183"/>
      <c r="B14" s="183"/>
      <c r="C14" s="183"/>
      <c r="D14" s="198"/>
      <c r="E14" s="199" t="s">
        <v>27</v>
      </c>
      <c r="F14" s="198"/>
      <c r="G14" s="198" t="s">
        <v>28</v>
      </c>
      <c r="H14" s="200">
        <f t="shared" si="2"/>
        <v>0.0404239346247028</v>
      </c>
      <c r="I14" s="201">
        <f t="shared" si="1"/>
        <v>0.171213278417168</v>
      </c>
      <c r="J14" s="202">
        <f t="shared" ref="J14:BK14" si="3">J15+J16</f>
        <v>69564.467</v>
      </c>
      <c r="K14" s="202">
        <f t="shared" si="3"/>
        <v>352264.124</v>
      </c>
      <c r="L14" s="202">
        <f t="shared" si="3"/>
        <v>421828.591</v>
      </c>
      <c r="M14" s="202">
        <f t="shared" si="3"/>
        <v>69891.593</v>
      </c>
      <c r="N14" s="202">
        <f t="shared" si="3"/>
        <v>366197.598</v>
      </c>
      <c r="O14" s="202">
        <f t="shared" si="3"/>
        <v>436089.191</v>
      </c>
      <c r="P14" s="202">
        <f t="shared" si="3"/>
        <v>69479.415</v>
      </c>
      <c r="Q14" s="202">
        <f t="shared" si="3"/>
        <v>345283.602</v>
      </c>
      <c r="R14" s="202">
        <f t="shared" si="3"/>
        <v>414763.017</v>
      </c>
      <c r="S14" s="202">
        <f t="shared" si="3"/>
        <v>71110.996</v>
      </c>
      <c r="T14" s="202">
        <f t="shared" si="3"/>
        <v>334355.984</v>
      </c>
      <c r="U14" s="202">
        <f t="shared" si="3"/>
        <v>405466.98</v>
      </c>
      <c r="V14" s="202">
        <f t="shared" si="3"/>
        <v>71311.646</v>
      </c>
      <c r="W14" s="202">
        <f t="shared" si="3"/>
        <v>350189.464</v>
      </c>
      <c r="X14" s="202">
        <f t="shared" si="3"/>
        <v>421501.11</v>
      </c>
      <c r="Y14" s="202">
        <f t="shared" si="3"/>
        <v>71082.456</v>
      </c>
      <c r="Z14" s="202">
        <f t="shared" si="3"/>
        <v>298251.663</v>
      </c>
      <c r="AA14" s="202">
        <f t="shared" si="3"/>
        <v>369334.119</v>
      </c>
      <c r="AB14" s="202">
        <f t="shared" si="3"/>
        <v>71982.724</v>
      </c>
      <c r="AC14" s="202">
        <f t="shared" si="3"/>
        <v>287615.053</v>
      </c>
      <c r="AD14" s="202">
        <f t="shared" si="3"/>
        <v>359597.777</v>
      </c>
      <c r="AE14" s="202">
        <f t="shared" si="3"/>
        <v>70403.018</v>
      </c>
      <c r="AF14" s="202">
        <f t="shared" si="3"/>
        <v>320377.193</v>
      </c>
      <c r="AG14" s="202">
        <f t="shared" si="3"/>
        <v>390780.211</v>
      </c>
      <c r="AH14" s="202">
        <f t="shared" si="3"/>
        <v>72545.314</v>
      </c>
      <c r="AI14" s="202">
        <f t="shared" si="3"/>
        <v>271170.65</v>
      </c>
      <c r="AJ14" s="202">
        <f t="shared" si="3"/>
        <v>343715.964</v>
      </c>
      <c r="AK14" s="202">
        <f t="shared" si="3"/>
        <v>72278.679</v>
      </c>
      <c r="AL14" s="202">
        <f t="shared" si="3"/>
        <v>267536.827</v>
      </c>
      <c r="AM14" s="202">
        <f t="shared" si="3"/>
        <v>339815.506</v>
      </c>
      <c r="AN14" s="202">
        <f t="shared" si="3"/>
        <v>76472.681</v>
      </c>
      <c r="AO14" s="202">
        <f t="shared" si="3"/>
        <v>297282.48</v>
      </c>
      <c r="AP14" s="202">
        <f t="shared" si="3"/>
        <v>373755.161</v>
      </c>
      <c r="AQ14" s="202">
        <f t="shared" si="3"/>
        <v>79995.541</v>
      </c>
      <c r="AR14" s="202">
        <f t="shared" si="3"/>
        <v>270057.77</v>
      </c>
      <c r="AS14" s="202">
        <f t="shared" si="3"/>
        <v>350053.311</v>
      </c>
      <c r="AT14" s="202">
        <f t="shared" si="3"/>
        <v>80071.267</v>
      </c>
      <c r="AU14" s="202">
        <f t="shared" si="3"/>
        <v>280092.504</v>
      </c>
      <c r="AV14" s="202">
        <f t="shared" si="3"/>
        <v>360163.771</v>
      </c>
      <c r="AW14" s="202">
        <f t="shared" si="3"/>
        <v>77937.981</v>
      </c>
      <c r="AX14" s="202">
        <f t="shared" si="3"/>
        <v>298285.901</v>
      </c>
      <c r="AY14" s="202">
        <f t="shared" si="3"/>
        <v>376223.882</v>
      </c>
      <c r="AZ14" s="202">
        <f t="shared" si="3"/>
        <v>71266.122</v>
      </c>
      <c r="BA14" s="202">
        <f t="shared" si="3"/>
        <v>309976.746</v>
      </c>
      <c r="BB14" s="202">
        <f t="shared" si="3"/>
        <v>381242.868</v>
      </c>
      <c r="BC14" s="202">
        <f t="shared" si="3"/>
        <v>65989.26</v>
      </c>
      <c r="BD14" s="202">
        <f t="shared" si="3"/>
        <v>298636.609</v>
      </c>
      <c r="BE14" s="202">
        <f t="shared" si="3"/>
        <v>364625.869</v>
      </c>
      <c r="BF14" s="202">
        <f t="shared" si="3"/>
        <v>70691.279</v>
      </c>
      <c r="BG14" s="202">
        <f t="shared" si="3"/>
        <v>349000.496</v>
      </c>
      <c r="BH14" s="202">
        <f t="shared" si="3"/>
        <v>419691.775</v>
      </c>
      <c r="BI14" s="202">
        <f t="shared" si="3"/>
        <v>68943.894</v>
      </c>
      <c r="BJ14" s="202">
        <f t="shared" si="3"/>
        <v>416086.351</v>
      </c>
      <c r="BK14" s="202">
        <f t="shared" si="3"/>
        <v>485030.245</v>
      </c>
    </row>
    <row r="15" s="78" customFormat="1" outlineLevel="1" spans="1:63" ht="16.5" customHeight="1">
      <c r="A15" s="183" t="s">
        <v>29</v>
      </c>
      <c r="B15" s="183" t="s">
        <v>30</v>
      </c>
      <c r="C15" s="183" t="s">
        <v>31</v>
      </c>
      <c r="D15" s="203"/>
      <c r="E15" s="204" t="s">
        <v>32</v>
      </c>
      <c r="F15" s="203"/>
      <c r="G15" s="205" t="s">
        <v>33</v>
      </c>
      <c r="H15" s="206">
        <f t="shared" si="2"/>
        <v>0.0243622263336911</v>
      </c>
      <c r="I15" s="207">
        <f t="shared" si="1"/>
        <v>0.12876795338429</v>
      </c>
      <c r="J15" s="208">
        <f>INDEX('3.4.1'!$1:$104,MATCH(J$4,'3.4.1'!$A:$A,0),MATCH(Summary!$A15,'3.4.1'!$1:$1,0))</f>
        <v>56511.102</v>
      </c>
      <c r="K15" s="208">
        <f>INDEX('3.4.1'!$1:$104,MATCH(K$4,'3.4.1'!$A:$A,0),MATCH(Summary!$B15,'3.4.1'!$1:$1,0))</f>
        <v>193800.707</v>
      </c>
      <c r="L15" s="208">
        <f>INDEX('3.4.1'!$1:$104,MATCH(L$4,'3.4.1'!$A:$A,0),MATCH(Summary!$C15,'3.4.1'!$1:$1,0))</f>
        <v>250311.809</v>
      </c>
      <c r="M15" s="208">
        <f>INDEX('3.4.1'!$1:$104,MATCH(M$4,'3.4.1'!$A:$A,0),MATCH(Summary!$A15,'3.4.1'!$1:$1,0))</f>
        <v>57111.395</v>
      </c>
      <c r="N15" s="208">
        <f>INDEX('3.4.1'!$1:$104,MATCH(N$4,'3.4.1'!$A:$A,0),MATCH(Summary!$B15,'3.4.1'!$1:$1,0))</f>
        <v>205705.762</v>
      </c>
      <c r="O15" s="208">
        <f>INDEX('3.4.1'!$1:$104,MATCH(O$4,'3.4.1'!$A:$A,0),MATCH(Summary!$C15,'3.4.1'!$1:$1,0))</f>
        <v>262817.157</v>
      </c>
      <c r="P15" s="208">
        <f>INDEX('3.4.1'!$1:$104,MATCH(P$4,'3.4.1'!$A:$A,0),MATCH(Summary!$A15,'3.4.1'!$1:$1,0))</f>
        <v>57013.091</v>
      </c>
      <c r="Q15" s="208">
        <f>INDEX('3.4.1'!$1:$104,MATCH(Q$4,'3.4.1'!$A:$A,0),MATCH(Summary!$B15,'3.4.1'!$1:$1,0))</f>
        <v>186630.306</v>
      </c>
      <c r="R15" s="208">
        <f>INDEX('3.4.1'!$1:$104,MATCH(R$4,'3.4.1'!$A:$A,0),MATCH(Summary!$C15,'3.4.1'!$1:$1,0))</f>
        <v>243643.397</v>
      </c>
      <c r="S15" s="208">
        <f>INDEX('3.4.1'!$1:$104,MATCH(S$4,'3.4.1'!$A:$A,0),MATCH(Summary!$A15,'3.4.1'!$1:$1,0))</f>
        <v>59126.986</v>
      </c>
      <c r="T15" s="208">
        <f>INDEX('3.4.1'!$1:$104,MATCH(T$4,'3.4.1'!$A:$A,0),MATCH(Summary!$B15,'3.4.1'!$1:$1,0))</f>
        <v>173799.623</v>
      </c>
      <c r="U15" s="208">
        <f>INDEX('3.4.1'!$1:$104,MATCH(U$4,'3.4.1'!$A:$A,0),MATCH(Summary!$C15,'3.4.1'!$1:$1,0))</f>
        <v>232926.609</v>
      </c>
      <c r="V15" s="208">
        <f>INDEX('3.4.1'!$1:$104,MATCH(V$4,'3.4.1'!$A:$A,0),MATCH(Summary!$A15,'3.4.1'!$1:$1,0))</f>
        <v>59339.624</v>
      </c>
      <c r="W15" s="208">
        <f>INDEX('3.4.1'!$1:$104,MATCH(W$4,'3.4.1'!$A:$A,0),MATCH(Summary!$B15,'3.4.1'!$1:$1,0))</f>
        <v>182422.148</v>
      </c>
      <c r="X15" s="208">
        <f>INDEX('3.4.1'!$1:$104,MATCH(X$4,'3.4.1'!$A:$A,0),MATCH(Summary!$C15,'3.4.1'!$1:$1,0))</f>
        <v>241761.772</v>
      </c>
      <c r="Y15" s="208">
        <f>INDEX('3.4.1'!$1:$104,MATCH(Y$4,'3.4.1'!$A:$A,0),MATCH(Summary!$A15,'3.4.1'!$1:$1,0))</f>
        <v>58040.729</v>
      </c>
      <c r="Z15" s="208">
        <f>INDEX('3.4.1'!$1:$104,MATCH(Z$4,'3.4.1'!$A:$A,0),MATCH(Summary!$B15,'3.4.1'!$1:$1,0))</f>
        <v>172201.211</v>
      </c>
      <c r="AA15" s="208">
        <f>INDEX('3.4.1'!$1:$104,MATCH(AA$4,'3.4.1'!$A:$A,0),MATCH(Summary!$C15,'3.4.1'!$1:$1,0))</f>
        <v>230241.94</v>
      </c>
      <c r="AB15" s="208">
        <f>INDEX('3.4.1'!$1:$104,MATCH(AB$4,'3.4.1'!$A:$A,0),MATCH(Summary!$A15,'3.4.1'!$1:$1,0))</f>
        <v>58057.961</v>
      </c>
      <c r="AC15" s="208">
        <f>INDEX('3.4.1'!$1:$104,MATCH(AC$4,'3.4.1'!$A:$A,0),MATCH(Summary!$B15,'3.4.1'!$1:$1,0))</f>
        <v>166061.314</v>
      </c>
      <c r="AD15" s="208">
        <f>INDEX('3.4.1'!$1:$104,MATCH(AD$4,'3.4.1'!$A:$A,0),MATCH(Summary!$C15,'3.4.1'!$1:$1,0))</f>
        <v>224119.275</v>
      </c>
      <c r="AE15" s="208">
        <f>INDEX('3.4.1'!$1:$104,MATCH(AE$4,'3.4.1'!$A:$A,0),MATCH(Summary!$A15,'3.4.1'!$1:$1,0))</f>
        <v>55987.338</v>
      </c>
      <c r="AF15" s="208">
        <f>INDEX('3.4.1'!$1:$104,MATCH(AF$4,'3.4.1'!$A:$A,0),MATCH(Summary!$B15,'3.4.1'!$1:$1,0))</f>
        <v>186177.144</v>
      </c>
      <c r="AG15" s="208">
        <f>INDEX('3.4.1'!$1:$104,MATCH(AG$4,'3.4.1'!$A:$A,0),MATCH(Summary!$C15,'3.4.1'!$1:$1,0))</f>
        <v>242164.482</v>
      </c>
      <c r="AH15" s="208">
        <f>INDEX('3.4.1'!$1:$104,MATCH(AH$4,'3.4.1'!$A:$A,0),MATCH(Summary!$A15,'3.4.1'!$1:$1,0))</f>
        <v>58570.371</v>
      </c>
      <c r="AI15" s="208">
        <f>INDEX('3.4.1'!$1:$104,MATCH(AI$4,'3.4.1'!$A:$A,0),MATCH(Summary!$B15,'3.4.1'!$1:$1,0))</f>
        <v>154966.043</v>
      </c>
      <c r="AJ15" s="208">
        <f>INDEX('3.4.1'!$1:$104,MATCH(AJ$4,'3.4.1'!$A:$A,0),MATCH(Summary!$C15,'3.4.1'!$1:$1,0))</f>
        <v>213536.414</v>
      </c>
      <c r="AK15" s="208">
        <f>INDEX('3.4.1'!$1:$104,MATCH(AK$4,'3.4.1'!$A:$A,0),MATCH(Summary!$A15,'3.4.1'!$1:$1,0))</f>
        <v>57795.635</v>
      </c>
      <c r="AL15" s="208">
        <f>INDEX('3.4.1'!$1:$104,MATCH(AL$4,'3.4.1'!$A:$A,0),MATCH(Summary!$B15,'3.4.1'!$1:$1,0))</f>
        <v>153915.665</v>
      </c>
      <c r="AM15" s="208">
        <f>INDEX('3.4.1'!$1:$104,MATCH(AM$4,'3.4.1'!$A:$A,0),MATCH(Summary!$C15,'3.4.1'!$1:$1,0))</f>
        <v>211711.3</v>
      </c>
      <c r="AN15" s="208">
        <f>INDEX('3.4.1'!$1:$104,MATCH(AN$4,'3.4.1'!$A:$A,0),MATCH(Summary!$A15,'3.4.1'!$1:$1,0))</f>
        <v>61251.15</v>
      </c>
      <c r="AO15" s="208">
        <f>INDEX('3.4.1'!$1:$104,MATCH(AO$4,'3.4.1'!$A:$A,0),MATCH(Summary!$B15,'3.4.1'!$1:$1,0))</f>
        <v>166019.305</v>
      </c>
      <c r="AP15" s="208">
        <f>INDEX('3.4.1'!$1:$104,MATCH(AP$4,'3.4.1'!$A:$A,0),MATCH(Summary!$C15,'3.4.1'!$1:$1,0))</f>
        <v>227270.455</v>
      </c>
      <c r="AQ15" s="208">
        <f>INDEX('3.4.1'!$1:$104,MATCH(AQ$4,'3.4.1'!$A:$A,0),MATCH(Summary!$A15,'3.4.1'!$1:$1,0))</f>
        <v>64970.17</v>
      </c>
      <c r="AR15" s="208">
        <f>INDEX('3.4.1'!$1:$104,MATCH(AR$4,'3.4.1'!$A:$A,0),MATCH(Summary!$B15,'3.4.1'!$1:$1,0))</f>
        <v>148628.359</v>
      </c>
      <c r="AS15" s="208">
        <f>INDEX('3.4.1'!$1:$104,MATCH(AS$4,'3.4.1'!$A:$A,0),MATCH(Summary!$C15,'3.4.1'!$1:$1,0))</f>
        <v>213598.529</v>
      </c>
      <c r="AT15" s="208">
        <f>INDEX('3.4.1'!$1:$104,MATCH(AT$4,'3.4.1'!$A:$A,0),MATCH(Summary!$A15,'3.4.1'!$1:$1,0))</f>
        <v>65997.963</v>
      </c>
      <c r="AU15" s="208">
        <f>INDEX('3.4.1'!$1:$104,MATCH(AU$4,'3.4.1'!$A:$A,0),MATCH(Summary!$B15,'3.4.1'!$1:$1,0))</f>
        <v>155758.695</v>
      </c>
      <c r="AV15" s="208">
        <f>INDEX('3.4.1'!$1:$104,MATCH(AV$4,'3.4.1'!$A:$A,0),MATCH(Summary!$C15,'3.4.1'!$1:$1,0))</f>
        <v>221756.658</v>
      </c>
      <c r="AW15" s="208">
        <f>INDEX('3.4.1'!$1:$104,MATCH(AW$4,'3.4.1'!$A:$A,0),MATCH(Summary!$A15,'3.4.1'!$1:$1,0))</f>
        <v>64711.344</v>
      </c>
      <c r="AX15" s="208">
        <f>INDEX('3.4.1'!$1:$104,MATCH(AX$4,'3.4.1'!$A:$A,0),MATCH(Summary!$B15,'3.4.1'!$1:$1,0))</f>
        <v>159163.174</v>
      </c>
      <c r="AY15" s="208">
        <f>INDEX('3.4.1'!$1:$104,MATCH(AY$4,'3.4.1'!$A:$A,0),MATCH(Summary!$C15,'3.4.1'!$1:$1,0))</f>
        <v>223874.518</v>
      </c>
      <c r="AZ15" s="208">
        <f>INDEX('3.4.1'!$1:$104,MATCH(AZ$4,'3.4.1'!$A:$A,0),MATCH(Summary!$A15,'3.4.1'!$1:$1,0))</f>
        <v>60444.762</v>
      </c>
      <c r="BA15" s="208">
        <f>INDEX('3.4.1'!$1:$104,MATCH(BA$4,'3.4.1'!$A:$A,0),MATCH(Summary!$B15,'3.4.1'!$1:$1,0))</f>
        <v>171303.015</v>
      </c>
      <c r="BB15" s="208">
        <f>INDEX('3.4.1'!$1:$104,MATCH(BB$4,'3.4.1'!$A:$A,0),MATCH(Summary!$C15,'3.4.1'!$1:$1,0))</f>
        <v>231747.777</v>
      </c>
      <c r="BC15" s="208">
        <f>INDEX('3.4.1'!$1:$104,MATCH(BC$4,'3.4.1'!$A:$A,0),MATCH(Summary!$A15,'3.4.1'!$1:$1,0))</f>
        <v>55411.698</v>
      </c>
      <c r="BD15" s="208">
        <f>INDEX('3.4.1'!$1:$104,MATCH(BD$4,'3.4.1'!$A:$A,0),MATCH(Summary!$B15,'3.4.1'!$1:$1,0))</f>
        <v>149701.379</v>
      </c>
      <c r="BE15" s="208">
        <f>INDEX('3.4.1'!$1:$104,MATCH(BE$4,'3.4.1'!$A:$A,0),MATCH(Summary!$C15,'3.4.1'!$1:$1,0))</f>
        <v>205113.077</v>
      </c>
      <c r="BF15" s="208">
        <f>INDEX('3.4.1'!$1:$104,MATCH(BF$4,'3.4.1'!$A:$A,0),MATCH(Summary!$A15,'3.4.1'!$1:$1,0))</f>
        <v>58068.637</v>
      </c>
      <c r="BG15" s="208">
        <f>INDEX('3.4.1'!$1:$104,MATCH(BG$4,'3.4.1'!$A:$A,0),MATCH(Summary!$B15,'3.4.1'!$1:$1,0))</f>
        <v>189414.864</v>
      </c>
      <c r="BH15" s="208">
        <f>INDEX('3.4.1'!$1:$104,MATCH(BH$4,'3.4.1'!$A:$A,0),MATCH(Summary!$C15,'3.4.1'!$1:$1,0))</f>
        <v>247483.501</v>
      </c>
      <c r="BI15" s="208">
        <f>INDEX('3.4.1'!$1:$104,MATCH(BI$4,'3.4.1'!$A:$A,0),MATCH(Summary!$A15,'3.4.1'!$1:$1,0))</f>
        <v>55055.337</v>
      </c>
      <c r="BJ15" s="208">
        <f>INDEX('3.4.1'!$1:$104,MATCH(BJ$4,'3.4.1'!$A:$A,0),MATCH(Summary!$B15,'3.4.1'!$1:$1,0))</f>
        <v>236330.956</v>
      </c>
      <c r="BK15" s="208">
        <f>INDEX('3.4.1'!$1:$104,MATCH(BK$4,'3.4.1'!$A:$A,0),MATCH(Summary!$C15,'3.4.1'!$1:$1,0))</f>
        <v>291386.293</v>
      </c>
    </row>
    <row r="16" s="78" customFormat="1" outlineLevel="1" spans="1:63" ht="16.5" customHeight="1">
      <c r="A16" s="183" t="s">
        <v>34</v>
      </c>
      <c r="B16" s="183" t="s">
        <v>35</v>
      </c>
      <c r="C16" s="183" t="s">
        <v>36</v>
      </c>
      <c r="D16" s="203"/>
      <c r="E16" s="204" t="s">
        <v>37</v>
      </c>
      <c r="F16" s="203"/>
      <c r="G16" s="205" t="s">
        <v>38</v>
      </c>
      <c r="H16" s="206">
        <f t="shared" si="2"/>
        <v>0.0160617082910117</v>
      </c>
      <c r="I16" s="207">
        <f t="shared" si="1"/>
        <v>0.2392194178633</v>
      </c>
      <c r="J16" s="208">
        <f>INDEX('3.4.1'!$1:$104,MATCH(J$4,'3.4.1'!$A:$A,0),MATCH(Summary!$A16,'3.4.1'!$1:$1,0))</f>
        <v>13053.365</v>
      </c>
      <c r="K16" s="208">
        <f>INDEX('3.4.1'!$1:$104,MATCH(K$4,'3.4.1'!$A:$A,0),MATCH(Summary!$B16,'3.4.1'!$1:$1,0))</f>
        <v>158463.417</v>
      </c>
      <c r="L16" s="208">
        <f>INDEX('3.4.1'!$1:$104,MATCH(L$4,'3.4.1'!$A:$A,0),MATCH(Summary!$C16,'3.4.1'!$1:$1,0))</f>
        <v>171516.782</v>
      </c>
      <c r="M16" s="208">
        <f>INDEX('3.4.1'!$1:$104,MATCH(M$4,'3.4.1'!$A:$A,0),MATCH(Summary!$A16,'3.4.1'!$1:$1,0))</f>
        <v>12780.198</v>
      </c>
      <c r="N16" s="208">
        <f>INDEX('3.4.1'!$1:$104,MATCH(N$4,'3.4.1'!$A:$A,0),MATCH(Summary!$B16,'3.4.1'!$1:$1,0))</f>
        <v>160491.836</v>
      </c>
      <c r="O16" s="208">
        <f>INDEX('3.4.1'!$1:$104,MATCH(O$4,'3.4.1'!$A:$A,0),MATCH(Summary!$C16,'3.4.1'!$1:$1,0))</f>
        <v>173272.034</v>
      </c>
      <c r="P16" s="208">
        <f>INDEX('3.4.1'!$1:$104,MATCH(P$4,'3.4.1'!$A:$A,0),MATCH(Summary!$A16,'3.4.1'!$1:$1,0))</f>
        <v>12466.324</v>
      </c>
      <c r="Q16" s="208">
        <f>INDEX('3.4.1'!$1:$104,MATCH(Q$4,'3.4.1'!$A:$A,0),MATCH(Summary!$B16,'3.4.1'!$1:$1,0))</f>
        <v>158653.296</v>
      </c>
      <c r="R16" s="208">
        <f>INDEX('3.4.1'!$1:$104,MATCH(R$4,'3.4.1'!$A:$A,0),MATCH(Summary!$C16,'3.4.1'!$1:$1,0))</f>
        <v>171119.62</v>
      </c>
      <c r="S16" s="208">
        <f>INDEX('3.4.1'!$1:$104,MATCH(S$4,'3.4.1'!$A:$A,0),MATCH(Summary!$A16,'3.4.1'!$1:$1,0))</f>
        <v>11984.01</v>
      </c>
      <c r="T16" s="208">
        <f>INDEX('3.4.1'!$1:$104,MATCH(T$4,'3.4.1'!$A:$A,0),MATCH(Summary!$B16,'3.4.1'!$1:$1,0))</f>
        <v>160556.361</v>
      </c>
      <c r="U16" s="208">
        <f>INDEX('3.4.1'!$1:$104,MATCH(U$4,'3.4.1'!$A:$A,0),MATCH(Summary!$C16,'3.4.1'!$1:$1,0))</f>
        <v>172540.371</v>
      </c>
      <c r="V16" s="208">
        <f>INDEX('3.4.1'!$1:$104,MATCH(V$4,'3.4.1'!$A:$A,0),MATCH(Summary!$A16,'3.4.1'!$1:$1,0))</f>
        <v>11972.022</v>
      </c>
      <c r="W16" s="208">
        <f>INDEX('3.4.1'!$1:$104,MATCH(W$4,'3.4.1'!$A:$A,0),MATCH(Summary!$B16,'3.4.1'!$1:$1,0))</f>
        <v>167767.316</v>
      </c>
      <c r="X16" s="208">
        <f>INDEX('3.4.1'!$1:$104,MATCH(X$4,'3.4.1'!$A:$A,0),MATCH(Summary!$C16,'3.4.1'!$1:$1,0))</f>
        <v>179739.338</v>
      </c>
      <c r="Y16" s="208">
        <f>INDEX('3.4.1'!$1:$104,MATCH(Y$4,'3.4.1'!$A:$A,0),MATCH(Summary!$A16,'3.4.1'!$1:$1,0))</f>
        <v>13041.727</v>
      </c>
      <c r="Z16" s="208">
        <f>INDEX('3.4.1'!$1:$104,MATCH(Z$4,'3.4.1'!$A:$A,0),MATCH(Summary!$B16,'3.4.1'!$1:$1,0))</f>
        <v>126050.452</v>
      </c>
      <c r="AA16" s="208">
        <f>INDEX('3.4.1'!$1:$104,MATCH(AA$4,'3.4.1'!$A:$A,0),MATCH(Summary!$C16,'3.4.1'!$1:$1,0))</f>
        <v>139092.179</v>
      </c>
      <c r="AB16" s="208">
        <f>INDEX('3.4.1'!$1:$104,MATCH(AB$4,'3.4.1'!$A:$A,0),MATCH(Summary!$A16,'3.4.1'!$1:$1,0))</f>
        <v>13924.763</v>
      </c>
      <c r="AC16" s="208">
        <f>INDEX('3.4.1'!$1:$104,MATCH(AC$4,'3.4.1'!$A:$A,0),MATCH(Summary!$B16,'3.4.1'!$1:$1,0))</f>
        <v>121553.739</v>
      </c>
      <c r="AD16" s="208">
        <f>INDEX('3.4.1'!$1:$104,MATCH(AD$4,'3.4.1'!$A:$A,0),MATCH(Summary!$C16,'3.4.1'!$1:$1,0))</f>
        <v>135478.502</v>
      </c>
      <c r="AE16" s="208">
        <f>INDEX('3.4.1'!$1:$104,MATCH(AE$4,'3.4.1'!$A:$A,0),MATCH(Summary!$A16,'3.4.1'!$1:$1,0))</f>
        <v>14415.68</v>
      </c>
      <c r="AF16" s="208">
        <f>INDEX('3.4.1'!$1:$104,MATCH(AF$4,'3.4.1'!$A:$A,0),MATCH(Summary!$B16,'3.4.1'!$1:$1,0))</f>
        <v>134200.049</v>
      </c>
      <c r="AG16" s="208">
        <f>INDEX('3.4.1'!$1:$104,MATCH(AG$4,'3.4.1'!$A:$A,0),MATCH(Summary!$C16,'3.4.1'!$1:$1,0))</f>
        <v>148615.729</v>
      </c>
      <c r="AH16" s="208">
        <f>INDEX('3.4.1'!$1:$104,MATCH(AH$4,'3.4.1'!$A:$A,0),MATCH(Summary!$A16,'3.4.1'!$1:$1,0))</f>
        <v>13974.943</v>
      </c>
      <c r="AI16" s="208">
        <f>INDEX('3.4.1'!$1:$104,MATCH(AI$4,'3.4.1'!$A:$A,0),MATCH(Summary!$B16,'3.4.1'!$1:$1,0))</f>
        <v>116204.607</v>
      </c>
      <c r="AJ16" s="208">
        <f>INDEX('3.4.1'!$1:$104,MATCH(AJ$4,'3.4.1'!$A:$A,0),MATCH(Summary!$C16,'3.4.1'!$1:$1,0))</f>
        <v>130179.55</v>
      </c>
      <c r="AK16" s="208">
        <f>INDEX('3.4.1'!$1:$104,MATCH(AK$4,'3.4.1'!$A:$A,0),MATCH(Summary!$A16,'3.4.1'!$1:$1,0))</f>
        <v>14483.044</v>
      </c>
      <c r="AL16" s="208">
        <f>INDEX('3.4.1'!$1:$104,MATCH(AL$4,'3.4.1'!$A:$A,0),MATCH(Summary!$B16,'3.4.1'!$1:$1,0))</f>
        <v>113621.162</v>
      </c>
      <c r="AM16" s="208">
        <f>INDEX('3.4.1'!$1:$104,MATCH(AM$4,'3.4.1'!$A:$A,0),MATCH(Summary!$C16,'3.4.1'!$1:$1,0))</f>
        <v>128104.206</v>
      </c>
      <c r="AN16" s="208">
        <f>INDEX('3.4.1'!$1:$104,MATCH(AN$4,'3.4.1'!$A:$A,0),MATCH(Summary!$A16,'3.4.1'!$1:$1,0))</f>
        <v>15221.531</v>
      </c>
      <c r="AO16" s="208">
        <f>INDEX('3.4.1'!$1:$104,MATCH(AO$4,'3.4.1'!$A:$A,0),MATCH(Summary!$B16,'3.4.1'!$1:$1,0))</f>
        <v>131263.175</v>
      </c>
      <c r="AP16" s="208">
        <f>INDEX('3.4.1'!$1:$104,MATCH(AP$4,'3.4.1'!$A:$A,0),MATCH(Summary!$C16,'3.4.1'!$1:$1,0))</f>
        <v>146484.706</v>
      </c>
      <c r="AQ16" s="208">
        <f>INDEX('3.4.1'!$1:$104,MATCH(AQ$4,'3.4.1'!$A:$A,0),MATCH(Summary!$A16,'3.4.1'!$1:$1,0))</f>
        <v>15025.371</v>
      </c>
      <c r="AR16" s="208">
        <f>INDEX('3.4.1'!$1:$104,MATCH(AR$4,'3.4.1'!$A:$A,0),MATCH(Summary!$B16,'3.4.1'!$1:$1,0))</f>
        <v>121429.411</v>
      </c>
      <c r="AS16" s="208">
        <f>INDEX('3.4.1'!$1:$104,MATCH(AS$4,'3.4.1'!$A:$A,0),MATCH(Summary!$C16,'3.4.1'!$1:$1,0))</f>
        <v>136454.782</v>
      </c>
      <c r="AT16" s="208">
        <f>INDEX('3.4.1'!$1:$104,MATCH(AT$4,'3.4.1'!$A:$A,0),MATCH(Summary!$A16,'3.4.1'!$1:$1,0))</f>
        <v>14073.304</v>
      </c>
      <c r="AU16" s="208">
        <f>INDEX('3.4.1'!$1:$104,MATCH(AU$4,'3.4.1'!$A:$A,0),MATCH(Summary!$B16,'3.4.1'!$1:$1,0))</f>
        <v>124333.809</v>
      </c>
      <c r="AV16" s="208">
        <f>INDEX('3.4.1'!$1:$104,MATCH(AV$4,'3.4.1'!$A:$A,0),MATCH(Summary!$C16,'3.4.1'!$1:$1,0))</f>
        <v>138407.113</v>
      </c>
      <c r="AW16" s="208">
        <f>INDEX('3.4.1'!$1:$104,MATCH(AW$4,'3.4.1'!$A:$A,0),MATCH(Summary!$A16,'3.4.1'!$1:$1,0))</f>
        <v>13226.637</v>
      </c>
      <c r="AX16" s="208">
        <f>INDEX('3.4.1'!$1:$104,MATCH(AX$4,'3.4.1'!$A:$A,0),MATCH(Summary!$B16,'3.4.1'!$1:$1,0))</f>
        <v>139122.727</v>
      </c>
      <c r="AY16" s="208">
        <f>INDEX('3.4.1'!$1:$104,MATCH(AY$4,'3.4.1'!$A:$A,0),MATCH(Summary!$C16,'3.4.1'!$1:$1,0))</f>
        <v>152349.364</v>
      </c>
      <c r="AZ16" s="208">
        <f>INDEX('3.4.1'!$1:$104,MATCH(AZ$4,'3.4.1'!$A:$A,0),MATCH(Summary!$A16,'3.4.1'!$1:$1,0))</f>
        <v>10821.36</v>
      </c>
      <c r="BA16" s="208">
        <f>INDEX('3.4.1'!$1:$104,MATCH(BA$4,'3.4.1'!$A:$A,0),MATCH(Summary!$B16,'3.4.1'!$1:$1,0))</f>
        <v>138673.731</v>
      </c>
      <c r="BB16" s="208">
        <f>INDEX('3.4.1'!$1:$104,MATCH(BB$4,'3.4.1'!$A:$A,0),MATCH(Summary!$C16,'3.4.1'!$1:$1,0))</f>
        <v>149495.091</v>
      </c>
      <c r="BC16" s="208">
        <f>INDEX('3.4.1'!$1:$104,MATCH(BC$4,'3.4.1'!$A:$A,0),MATCH(Summary!$A16,'3.4.1'!$1:$1,0))</f>
        <v>10577.562</v>
      </c>
      <c r="BD16" s="208">
        <f>INDEX('3.4.1'!$1:$104,MATCH(BD$4,'3.4.1'!$A:$A,0),MATCH(Summary!$B16,'3.4.1'!$1:$1,0))</f>
        <v>148935.23</v>
      </c>
      <c r="BE16" s="208">
        <f>INDEX('3.4.1'!$1:$104,MATCH(BE$4,'3.4.1'!$A:$A,0),MATCH(Summary!$C16,'3.4.1'!$1:$1,0))</f>
        <v>159512.792</v>
      </c>
      <c r="BF16" s="208">
        <f>INDEX('3.4.1'!$1:$104,MATCH(BF$4,'3.4.1'!$A:$A,0),MATCH(Summary!$A16,'3.4.1'!$1:$1,0))</f>
        <v>12622.642</v>
      </c>
      <c r="BG16" s="208">
        <f>INDEX('3.4.1'!$1:$104,MATCH(BG$4,'3.4.1'!$A:$A,0),MATCH(Summary!$B16,'3.4.1'!$1:$1,0))</f>
        <v>159585.632</v>
      </c>
      <c r="BH16" s="208">
        <f>INDEX('3.4.1'!$1:$104,MATCH(BH$4,'3.4.1'!$A:$A,0),MATCH(Summary!$C16,'3.4.1'!$1:$1,0))</f>
        <v>172208.274</v>
      </c>
      <c r="BI16" s="208">
        <f>INDEX('3.4.1'!$1:$104,MATCH(BI$4,'3.4.1'!$A:$A,0),MATCH(Summary!$A16,'3.4.1'!$1:$1,0))</f>
        <v>13888.557</v>
      </c>
      <c r="BJ16" s="208">
        <f>INDEX('3.4.1'!$1:$104,MATCH(BJ$4,'3.4.1'!$A:$A,0),MATCH(Summary!$B16,'3.4.1'!$1:$1,0))</f>
        <v>179755.395</v>
      </c>
      <c r="BK16" s="208">
        <f>INDEX('3.4.1'!$1:$104,MATCH(BK$4,'3.4.1'!$A:$A,0),MATCH(Summary!$C16,'3.4.1'!$1:$1,0))</f>
        <v>193643.952</v>
      </c>
    </row>
    <row r="17" s="78" customFormat="1" spans="1:63" ht="16.5" customHeight="1">
      <c r="A17" s="183" t="s">
        <v>39</v>
      </c>
      <c r="B17" s="183" t="s">
        <v>40</v>
      </c>
      <c r="C17" s="183" t="s">
        <v>41</v>
      </c>
      <c r="D17" s="209"/>
      <c r="E17" s="210" t="s">
        <v>42</v>
      </c>
      <c r="F17" s="209"/>
      <c r="G17" s="209"/>
      <c r="H17" s="211">
        <f t="shared" si="2"/>
        <v>0.709976829075227</v>
      </c>
      <c r="I17" s="212">
        <f t="shared" si="1"/>
        <v>0.0598694989589126</v>
      </c>
      <c r="J17" s="213">
        <f>INDEX('3.4.1'!$1:$104,MATCH(J$4,'3.4.1'!$A:$A,0),MATCH(Summary!$A17,'3.4.1'!$1:$1,0))</f>
        <v>5580470.652</v>
      </c>
      <c r="K17" s="213">
        <f>INDEX('3.4.1'!$1:$104,MATCH(K$4,'3.4.1'!$A:$A,0),MATCH(Summary!$B17,'3.4.1'!$1:$1,0))</f>
        <v>2068567.779</v>
      </c>
      <c r="L17" s="213">
        <f>INDEX('3.4.1'!$1:$104,MATCH(L$4,'3.4.1'!$A:$A,0),MATCH(Summary!$C17,'3.4.1'!$1:$1,0))</f>
        <v>7649038.431</v>
      </c>
      <c r="M17" s="213">
        <f>INDEX('3.4.1'!$1:$104,MATCH(M$4,'3.4.1'!$A:$A,0),MATCH(Summary!$A17,'3.4.1'!$1:$1,0))</f>
        <v>5589675.382</v>
      </c>
      <c r="N17" s="213">
        <f>INDEX('3.4.1'!$1:$104,MATCH(N$4,'3.4.1'!$A:$A,0),MATCH(Summary!$B17,'3.4.1'!$1:$1,0))</f>
        <v>2069480.608</v>
      </c>
      <c r="O17" s="213">
        <f>INDEX('3.4.1'!$1:$104,MATCH(O$4,'3.4.1'!$A:$A,0),MATCH(Summary!$C17,'3.4.1'!$1:$1,0))</f>
        <v>7659155.99</v>
      </c>
      <c r="P17" s="213">
        <f>INDEX('3.4.1'!$1:$104,MATCH(P$4,'3.4.1'!$A:$A,0),MATCH(Summary!$A17,'3.4.1'!$1:$1,0))</f>
        <v>5488152.224</v>
      </c>
      <c r="Q17" s="213">
        <f>INDEX('3.4.1'!$1:$104,MATCH(Q$4,'3.4.1'!$A:$A,0),MATCH(Summary!$B17,'3.4.1'!$1:$1,0))</f>
        <v>2078291.039</v>
      </c>
      <c r="R17" s="213">
        <f>INDEX('3.4.1'!$1:$104,MATCH(R$4,'3.4.1'!$A:$A,0),MATCH(Summary!$C17,'3.4.1'!$1:$1,0))</f>
        <v>7566443.263</v>
      </c>
      <c r="S17" s="213">
        <f>INDEX('3.4.1'!$1:$104,MATCH(S$4,'3.4.1'!$A:$A,0),MATCH(Summary!$A17,'3.4.1'!$1:$1,0))</f>
        <v>5472828.586</v>
      </c>
      <c r="T17" s="213">
        <f>INDEX('3.4.1'!$1:$104,MATCH(T$4,'3.4.1'!$A:$A,0),MATCH(Summary!$B17,'3.4.1'!$1:$1,0))</f>
        <v>1990899.937</v>
      </c>
      <c r="U17" s="213">
        <f>INDEX('3.4.1'!$1:$104,MATCH(U$4,'3.4.1'!$A:$A,0),MATCH(Summary!$C17,'3.4.1'!$1:$1,0))</f>
        <v>7463728.523</v>
      </c>
      <c r="V17" s="213">
        <f>INDEX('3.4.1'!$1:$104,MATCH(V$4,'3.4.1'!$A:$A,0),MATCH(Summary!$A17,'3.4.1'!$1:$1,0))</f>
        <v>5461882.463</v>
      </c>
      <c r="W17" s="213">
        <f>INDEX('3.4.1'!$1:$104,MATCH(W$4,'3.4.1'!$A:$A,0),MATCH(Summary!$B17,'3.4.1'!$1:$1,0))</f>
        <v>1978438.212</v>
      </c>
      <c r="X17" s="213">
        <f>INDEX('3.4.1'!$1:$104,MATCH(X$4,'3.4.1'!$A:$A,0),MATCH(Summary!$C17,'3.4.1'!$1:$1,0))</f>
        <v>7440320.675</v>
      </c>
      <c r="Y17" s="213">
        <f>INDEX('3.4.1'!$1:$104,MATCH(Y$4,'3.4.1'!$A:$A,0),MATCH(Summary!$A17,'3.4.1'!$1:$1,0))</f>
        <v>5431952.463</v>
      </c>
      <c r="Z17" s="213">
        <f>INDEX('3.4.1'!$1:$104,MATCH(Z$4,'3.4.1'!$A:$A,0),MATCH(Summary!$B17,'3.4.1'!$1:$1,0))</f>
        <v>1920630.31</v>
      </c>
      <c r="AA17" s="213">
        <f>INDEX('3.4.1'!$1:$104,MATCH(AA$4,'3.4.1'!$A:$A,0),MATCH(Summary!$C17,'3.4.1'!$1:$1,0))</f>
        <v>7352582.773</v>
      </c>
      <c r="AB17" s="213">
        <f>INDEX('3.4.1'!$1:$104,MATCH(AB$4,'3.4.1'!$A:$A,0),MATCH(Summary!$A17,'3.4.1'!$1:$1,0))</f>
        <v>5430504.176</v>
      </c>
      <c r="AC17" s="213">
        <f>INDEX('3.4.1'!$1:$104,MATCH(AC$4,'3.4.1'!$A:$A,0),MATCH(Summary!$B17,'3.4.1'!$1:$1,0))</f>
        <v>1898592.291</v>
      </c>
      <c r="AD17" s="213">
        <f>INDEX('3.4.1'!$1:$104,MATCH(AD$4,'3.4.1'!$A:$A,0),MATCH(Summary!$C17,'3.4.1'!$1:$1,0))</f>
        <v>7329096.467</v>
      </c>
      <c r="AE17" s="213">
        <f>INDEX('3.4.1'!$1:$104,MATCH(AE$4,'3.4.1'!$A:$A,0),MATCH(Summary!$A17,'3.4.1'!$1:$1,0))</f>
        <v>5408698.15</v>
      </c>
      <c r="AF17" s="213">
        <f>INDEX('3.4.1'!$1:$104,MATCH(AF$4,'3.4.1'!$A:$A,0),MATCH(Summary!$B17,'3.4.1'!$1:$1,0))</f>
        <v>1835826.71</v>
      </c>
      <c r="AG17" s="213">
        <f>INDEX('3.4.1'!$1:$104,MATCH(AG$4,'3.4.1'!$A:$A,0),MATCH(Summary!$C17,'3.4.1'!$1:$1,0))</f>
        <v>7244524.86</v>
      </c>
      <c r="AH17" s="213">
        <f>INDEX('3.4.1'!$1:$104,MATCH(AH$4,'3.4.1'!$A:$A,0),MATCH(Summary!$A17,'3.4.1'!$1:$1,0))</f>
        <v>5391482.45</v>
      </c>
      <c r="AI17" s="213">
        <f>INDEX('3.4.1'!$1:$104,MATCH(AI$4,'3.4.1'!$A:$A,0),MATCH(Summary!$B17,'3.4.1'!$1:$1,0))</f>
        <v>1811565.951</v>
      </c>
      <c r="AJ17" s="213">
        <f>INDEX('3.4.1'!$1:$104,MATCH(AJ$4,'3.4.1'!$A:$A,0),MATCH(Summary!$C17,'3.4.1'!$1:$1,0))</f>
        <v>7203048.401</v>
      </c>
      <c r="AK17" s="213">
        <f>INDEX('3.4.1'!$1:$104,MATCH(AK$4,'3.4.1'!$A:$A,0),MATCH(Summary!$A17,'3.4.1'!$1:$1,0))</f>
        <v>5414751.567</v>
      </c>
      <c r="AL17" s="213">
        <f>INDEX('3.4.1'!$1:$104,MATCH(AL$4,'3.4.1'!$A:$A,0),MATCH(Summary!$B17,'3.4.1'!$1:$1,0))</f>
        <v>1797183.229</v>
      </c>
      <c r="AM17" s="213">
        <f>INDEX('3.4.1'!$1:$104,MATCH(AM$4,'3.4.1'!$A:$A,0),MATCH(Summary!$C17,'3.4.1'!$1:$1,0))</f>
        <v>7211934.796</v>
      </c>
      <c r="AN17" s="213">
        <f>INDEX('3.4.1'!$1:$104,MATCH(AN$4,'3.4.1'!$A:$A,0),MATCH(Summary!$A17,'3.4.1'!$1:$1,0))</f>
        <v>5452569.993</v>
      </c>
      <c r="AO17" s="213">
        <f>INDEX('3.4.1'!$1:$104,MATCH(AO$4,'3.4.1'!$A:$A,0),MATCH(Summary!$B17,'3.4.1'!$1:$1,0))</f>
        <v>1790930.461</v>
      </c>
      <c r="AP17" s="213">
        <f>INDEX('3.4.1'!$1:$104,MATCH(AP$4,'3.4.1'!$A:$A,0),MATCH(Summary!$C17,'3.4.1'!$1:$1,0))</f>
        <v>7243500.454</v>
      </c>
      <c r="AQ17" s="213">
        <f>INDEX('3.4.1'!$1:$104,MATCH(AQ$4,'3.4.1'!$A:$A,0),MATCH(Summary!$A17,'3.4.1'!$1:$1,0))</f>
        <v>5433198.161</v>
      </c>
      <c r="AR17" s="213">
        <f>INDEX('3.4.1'!$1:$104,MATCH(AR$4,'3.4.1'!$A:$A,0),MATCH(Summary!$B17,'3.4.1'!$1:$1,0))</f>
        <v>1786769.091</v>
      </c>
      <c r="AS17" s="213">
        <f>INDEX('3.4.1'!$1:$104,MATCH(AS$4,'3.4.1'!$A:$A,0),MATCH(Summary!$C17,'3.4.1'!$1:$1,0))</f>
        <v>7219967.252</v>
      </c>
      <c r="AT17" s="213">
        <f>INDEX('3.4.1'!$1:$104,MATCH(AT$4,'3.4.1'!$A:$A,0),MATCH(Summary!$A17,'3.4.1'!$1:$1,0))</f>
        <v>5429428.707</v>
      </c>
      <c r="AU17" s="213">
        <f>INDEX('3.4.1'!$1:$104,MATCH(AU$4,'3.4.1'!$A:$A,0),MATCH(Summary!$B17,'3.4.1'!$1:$1,0))</f>
        <v>1787533.795</v>
      </c>
      <c r="AV17" s="213">
        <f>INDEX('3.4.1'!$1:$104,MATCH(AV$4,'3.4.1'!$A:$A,0),MATCH(Summary!$C17,'3.4.1'!$1:$1,0))</f>
        <v>7216962.502</v>
      </c>
      <c r="AW17" s="213">
        <f>INDEX('3.4.1'!$1:$104,MATCH(AW$4,'3.4.1'!$A:$A,0),MATCH(Summary!$A17,'3.4.1'!$1:$1,0))</f>
        <v>5464932.407</v>
      </c>
      <c r="AX17" s="213">
        <f>INDEX('3.4.1'!$1:$104,MATCH(AX$4,'3.4.1'!$A:$A,0),MATCH(Summary!$B17,'3.4.1'!$1:$1,0))</f>
        <v>1808945.155</v>
      </c>
      <c r="AY17" s="213">
        <f>INDEX('3.4.1'!$1:$104,MATCH(AY$4,'3.4.1'!$A:$A,0),MATCH(Summary!$C17,'3.4.1'!$1:$1,0))</f>
        <v>7273877.562</v>
      </c>
      <c r="AZ17" s="213">
        <f>INDEX('3.4.1'!$1:$104,MATCH(AZ$4,'3.4.1'!$A:$A,0),MATCH(Summary!$A17,'3.4.1'!$1:$1,0))</f>
        <v>5442170.081</v>
      </c>
      <c r="BA17" s="213">
        <f>INDEX('3.4.1'!$1:$104,MATCH(BA$4,'3.4.1'!$A:$A,0),MATCH(Summary!$B17,'3.4.1'!$1:$1,0))</f>
        <v>1666569.257</v>
      </c>
      <c r="BB17" s="213">
        <f>INDEX('3.4.1'!$1:$104,MATCH(BB$4,'3.4.1'!$A:$A,0),MATCH(Summary!$C17,'3.4.1'!$1:$1,0))</f>
        <v>7108739.338</v>
      </c>
      <c r="BC17" s="213">
        <f>INDEX('3.4.1'!$1:$104,MATCH(BC$4,'3.4.1'!$A:$A,0),MATCH(Summary!$A17,'3.4.1'!$1:$1,0))</f>
        <v>5636493.202</v>
      </c>
      <c r="BD17" s="213">
        <f>INDEX('3.4.1'!$1:$104,MATCH(BD$4,'3.4.1'!$A:$A,0),MATCH(Summary!$B17,'3.4.1'!$1:$1,0))</f>
        <v>1626831.815</v>
      </c>
      <c r="BE17" s="213">
        <f>INDEX('3.4.1'!$1:$104,MATCH(BE$4,'3.4.1'!$A:$A,0),MATCH(Summary!$C17,'3.4.1'!$1:$1,0))</f>
        <v>7263325.017</v>
      </c>
      <c r="BF17" s="213">
        <f>INDEX('3.4.1'!$1:$104,MATCH(BF$4,'3.4.1'!$A:$A,0),MATCH(Summary!$A17,'3.4.1'!$1:$1,0))</f>
        <v>5648487.72</v>
      </c>
      <c r="BG17" s="213">
        <f>INDEX('3.4.1'!$1:$104,MATCH(BG$4,'3.4.1'!$A:$A,0),MATCH(Summary!$B17,'3.4.1'!$1:$1,0))</f>
        <v>1642161.107</v>
      </c>
      <c r="BH17" s="213">
        <f>INDEX('3.4.1'!$1:$104,MATCH(BH$4,'3.4.1'!$A:$A,0),MATCH(Summary!$C17,'3.4.1'!$1:$1,0))</f>
        <v>7290648.827</v>
      </c>
      <c r="BI17" s="213">
        <f>INDEX('3.4.1'!$1:$104,MATCH(BI$4,'3.4.1'!$A:$A,0),MATCH(Summary!$A17,'3.4.1'!$1:$1,0))</f>
        <v>5468186.189</v>
      </c>
      <c r="BJ17" s="213">
        <f>INDEX('3.4.1'!$1:$104,MATCH(BJ$4,'3.4.1'!$A:$A,0),MATCH(Summary!$B17,'3.4.1'!$1:$1,0))</f>
        <v>1759079.069</v>
      </c>
      <c r="BK17" s="213">
        <f>INDEX('3.4.1'!$1:$104,MATCH(BK$4,'3.4.1'!$A:$A,0),MATCH(Summary!$C17,'3.4.1'!$1:$1,0))</f>
        <v>7227265.258</v>
      </c>
    </row>
    <row r="18" s="79" customFormat="1" outlineLevel="1" spans="1:63" ht="16.5" customHeight="1">
      <c r="A18" s="183"/>
      <c r="B18" s="183"/>
      <c r="C18" s="183" t="s">
        <v>43</v>
      </c>
      <c r="D18" s="214"/>
      <c r="E18" s="214"/>
      <c r="F18" s="214" t="s">
        <v>44</v>
      </c>
      <c r="G18" s="214" t="s">
        <v>45</v>
      </c>
      <c r="H18" s="215">
        <f t="shared" si="2"/>
        <v>0.0337075904984425</v>
      </c>
      <c r="I18" s="216" t="str">
        <f t="shared" si="1"/>
        <v/>
      </c>
      <c r="J18" s="217"/>
      <c r="K18" s="217"/>
      <c r="L18" s="217" t="str">
        <f>_xlfn.IFNA(INDEX('3.5.1'!$1:$104,MATCH(L$4,'3.5.1'!$A:$A,0),MATCH(Summary!$C18,'3.5.1'!$1:$1,0)),"")</f>
        <v/>
      </c>
      <c r="M18" s="217"/>
      <c r="N18" s="217"/>
      <c r="O18" s="217">
        <f>_xlfn.IFNA(INDEX('3.5.1'!$1:$104,MATCH(O$4,'3.5.1'!$A:$A,0),MATCH(Summary!$C18,'3.5.1'!$1:$1,0)),"")</f>
        <v>363633.971</v>
      </c>
      <c r="P18" s="217"/>
      <c r="Q18" s="217"/>
      <c r="R18" s="217" t="str">
        <f>_xlfn.IFNA(INDEX('3.5.1'!$1:$104,MATCH(R$4,'3.5.1'!$A:$A,0),MATCH(Summary!$C18,'3.5.1'!$1:$1,0)),"")</f>
        <v/>
      </c>
      <c r="S18" s="217"/>
      <c r="T18" s="217"/>
      <c r="U18" s="217" t="str">
        <f>_xlfn.IFNA(INDEX('3.5.1'!$1:$104,MATCH(U$4,'3.5.1'!$A:$A,0),MATCH(Summary!$C18,'3.5.1'!$1:$1,0)),"")</f>
        <v/>
      </c>
      <c r="V18" s="217"/>
      <c r="W18" s="217"/>
      <c r="X18" s="217">
        <f>_xlfn.IFNA(INDEX('3.5.1'!$1:$104,MATCH(X$4,'3.5.1'!$A:$A,0),MATCH(Summary!$C18,'3.5.1'!$1:$1,0)),"")</f>
        <v>328188.241</v>
      </c>
      <c r="Y18" s="217"/>
      <c r="Z18" s="217"/>
      <c r="AA18" s="217" t="str">
        <f>_xlfn.IFNA(INDEX('3.5.1'!$1:$104,MATCH(AA$4,'3.5.1'!$A:$A,0),MATCH(Summary!$C18,'3.5.1'!$1:$1,0)),"")</f>
        <v/>
      </c>
      <c r="AB18" s="217"/>
      <c r="AC18" s="217"/>
      <c r="AD18" s="217" t="str">
        <f>_xlfn.IFNA(INDEX('3.5.1'!$1:$104,MATCH(AD$4,'3.5.1'!$A:$A,0),MATCH(Summary!$C18,'3.5.1'!$1:$1,0)),"")</f>
        <v/>
      </c>
      <c r="AE18" s="217"/>
      <c r="AF18" s="217"/>
      <c r="AG18" s="217">
        <f>_xlfn.IFNA(INDEX('3.5.1'!$1:$104,MATCH(AG$4,'3.5.1'!$A:$A,0),MATCH(Summary!$C18,'3.5.1'!$1:$1,0)),"")</f>
        <v>306596.643</v>
      </c>
      <c r="AH18" s="217"/>
      <c r="AI18" s="217"/>
      <c r="AJ18" s="217" t="str">
        <f>_xlfn.IFNA(INDEX('3.5.1'!$1:$104,MATCH(AJ$4,'3.5.1'!$A:$A,0),MATCH(Summary!$C18,'3.5.1'!$1:$1,0)),"")</f>
        <v/>
      </c>
      <c r="AK18" s="217"/>
      <c r="AL18" s="217"/>
      <c r="AM18" s="217" t="str">
        <f>_xlfn.IFNA(INDEX('3.5.1'!$1:$104,MATCH(AM$4,'3.5.1'!$A:$A,0),MATCH(Summary!$C18,'3.5.1'!$1:$1,0)),"")</f>
        <v/>
      </c>
      <c r="AN18" s="217"/>
      <c r="AO18" s="217"/>
      <c r="AP18" s="217">
        <f>_xlfn.IFNA(INDEX('3.5.1'!$1:$104,MATCH(AP$4,'3.5.1'!$A:$A,0),MATCH(Summary!$C18,'3.5.1'!$1:$1,0)),"")</f>
        <v>322774.747</v>
      </c>
      <c r="AQ18" s="217"/>
      <c r="AR18" s="217"/>
      <c r="AS18" s="217" t="str">
        <f>_xlfn.IFNA(INDEX('3.5.1'!$1:$104,MATCH(AS$4,'3.5.1'!$A:$A,0),MATCH(Summary!$C18,'3.5.1'!$1:$1,0)),"")</f>
        <v/>
      </c>
      <c r="AT18" s="217"/>
      <c r="AU18" s="217"/>
      <c r="AV18" s="217" t="str">
        <f>_xlfn.IFNA(INDEX('3.5.1'!$1:$104,MATCH(AV$4,'3.5.1'!$A:$A,0),MATCH(Summary!$C18,'3.5.1'!$1:$1,0)),"")</f>
        <v/>
      </c>
      <c r="AW18" s="217"/>
      <c r="AX18" s="217"/>
      <c r="AY18" s="217">
        <f>_xlfn.IFNA(INDEX('3.5.1'!$1:$104,MATCH(AY$4,'3.5.1'!$A:$A,0),MATCH(Summary!$C18,'3.5.1'!$1:$1,0)),"")</f>
        <v>324870.771</v>
      </c>
      <c r="AZ18" s="217"/>
      <c r="BA18" s="217"/>
      <c r="BB18" s="217">
        <f>_xlfn.IFNA(INDEX('3.5.1'!$1:$104,MATCH(BB$4,'3.5.1'!$A:$A,0),MATCH(Summary!$C18,'3.5.1'!$1:$1,0)),"")</f>
        <v>295132.542</v>
      </c>
      <c r="BC18" s="217"/>
      <c r="BD18" s="217"/>
      <c r="BE18" s="217" t="str">
        <f>_xlfn.IFNA(INDEX('3.5.1'!$1:$104,MATCH(BE$4,'3.5.1'!$A:$A,0),MATCH(Summary!$C18,'3.5.1'!$1:$1,0)),"")</f>
        <v/>
      </c>
      <c r="BF18" s="217"/>
      <c r="BG18" s="217"/>
      <c r="BH18" s="217" t="str">
        <f>_xlfn.IFNA(INDEX('3.5.1'!$1:$104,MATCH(BH$4,'3.5.1'!$A:$A,0),MATCH(Summary!$C18,'3.5.1'!$1:$1,0)),"")</f>
        <v/>
      </c>
      <c r="BI18" s="217"/>
      <c r="BJ18" s="217"/>
      <c r="BK18" s="217" t="str">
        <f>_xlfn.IFNA(INDEX('3.5.1'!$1:$104,MATCH(BK$4,'3.5.1'!$A:$A,0),MATCH(Summary!$C18,'3.5.1'!$1:$1,0)),"")</f>
        <v/>
      </c>
    </row>
    <row r="19" s="78" customFormat="1" hidden="1" outlineLevel="2" spans="1:63" ht="16.5" customHeight="1">
      <c r="A19" s="183"/>
      <c r="B19" s="183"/>
      <c r="C19" s="183" t="s">
        <v>46</v>
      </c>
      <c r="D19" s="203"/>
      <c r="E19" s="203"/>
      <c r="F19" s="218" t="s">
        <v>47</v>
      </c>
      <c r="G19" s="219" t="s">
        <v>48</v>
      </c>
      <c r="H19" s="206">
        <f t="shared" si="2"/>
        <v>0.000983313361863541</v>
      </c>
      <c r="I19" s="207" t="str">
        <f t="shared" si="1"/>
        <v/>
      </c>
      <c r="J19" s="208"/>
      <c r="K19" s="208"/>
      <c r="L19" s="208" t="str">
        <f>_xlfn.IFNA(INDEX('3.5.1'!$1:$104,MATCH(L$4,'3.5.1'!$A:$A,0),MATCH(Summary!$C19,'3.5.1'!$1:$1,0)),"")</f>
        <v/>
      </c>
      <c r="M19" s="208"/>
      <c r="N19" s="208"/>
      <c r="O19" s="208">
        <f>_xlfn.IFNA(INDEX('3.5.1'!$1:$104,MATCH(O$4,'3.5.1'!$A:$A,0),MATCH(Summary!$C19,'3.5.1'!$1:$1,0)),"")</f>
        <v>10607.882</v>
      </c>
      <c r="P19" s="208"/>
      <c r="Q19" s="208"/>
      <c r="R19" s="208" t="str">
        <f>_xlfn.IFNA(INDEX('3.5.1'!$1:$104,MATCH(R$4,'3.5.1'!$A:$A,0),MATCH(Summary!$C19,'3.5.1'!$1:$1,0)),"")</f>
        <v/>
      </c>
      <c r="S19" s="208"/>
      <c r="T19" s="208"/>
      <c r="U19" s="208" t="str">
        <f>_xlfn.IFNA(INDEX('3.5.1'!$1:$104,MATCH(U$4,'3.5.1'!$A:$A,0),MATCH(Summary!$C19,'3.5.1'!$1:$1,0)),"")</f>
        <v/>
      </c>
      <c r="V19" s="208"/>
      <c r="W19" s="208"/>
      <c r="X19" s="208">
        <f>_xlfn.IFNA(INDEX('3.5.1'!$1:$104,MATCH(X$4,'3.5.1'!$A:$A,0),MATCH(Summary!$C19,'3.5.1'!$1:$1,0)),"")</f>
        <v>10407.843</v>
      </c>
      <c r="Y19" s="208"/>
      <c r="Z19" s="208"/>
      <c r="AA19" s="208" t="str">
        <f>_xlfn.IFNA(INDEX('3.5.1'!$1:$104,MATCH(AA$4,'3.5.1'!$A:$A,0),MATCH(Summary!$C19,'3.5.1'!$1:$1,0)),"")</f>
        <v/>
      </c>
      <c r="AB19" s="208"/>
      <c r="AC19" s="208"/>
      <c r="AD19" s="208" t="str">
        <f>_xlfn.IFNA(INDEX('3.5.1'!$1:$104,MATCH(AD$4,'3.5.1'!$A:$A,0),MATCH(Summary!$C19,'3.5.1'!$1:$1,0)),"")</f>
        <v/>
      </c>
      <c r="AE19" s="208"/>
      <c r="AF19" s="208"/>
      <c r="AG19" s="208">
        <f>_xlfn.IFNA(INDEX('3.5.1'!$1:$104,MATCH(AG$4,'3.5.1'!$A:$A,0),MATCH(Summary!$C19,'3.5.1'!$1:$1,0)),"")</f>
        <v>10579.608</v>
      </c>
      <c r="AH19" s="208"/>
      <c r="AI19" s="208"/>
      <c r="AJ19" s="208" t="str">
        <f>_xlfn.IFNA(INDEX('3.5.1'!$1:$104,MATCH(AJ$4,'3.5.1'!$A:$A,0),MATCH(Summary!$C19,'3.5.1'!$1:$1,0)),"")</f>
        <v/>
      </c>
      <c r="AK19" s="208"/>
      <c r="AL19" s="208"/>
      <c r="AM19" s="208" t="str">
        <f>_xlfn.IFNA(INDEX('3.5.1'!$1:$104,MATCH(AM$4,'3.5.1'!$A:$A,0),MATCH(Summary!$C19,'3.5.1'!$1:$1,0)),"")</f>
        <v/>
      </c>
      <c r="AN19" s="208"/>
      <c r="AO19" s="208"/>
      <c r="AP19" s="208">
        <f>_xlfn.IFNA(INDEX('3.5.1'!$1:$104,MATCH(AP$4,'3.5.1'!$A:$A,0),MATCH(Summary!$C19,'3.5.1'!$1:$1,0)),"")</f>
        <v>10888.719</v>
      </c>
      <c r="AQ19" s="208"/>
      <c r="AR19" s="208"/>
      <c r="AS19" s="208" t="str">
        <f>_xlfn.IFNA(INDEX('3.5.1'!$1:$104,MATCH(AS$4,'3.5.1'!$A:$A,0),MATCH(Summary!$C19,'3.5.1'!$1:$1,0)),"")</f>
        <v/>
      </c>
      <c r="AT19" s="208"/>
      <c r="AU19" s="208"/>
      <c r="AV19" s="208" t="str">
        <f>_xlfn.IFNA(INDEX('3.5.1'!$1:$104,MATCH(AV$4,'3.5.1'!$A:$A,0),MATCH(Summary!$C19,'3.5.1'!$1:$1,0)),"")</f>
        <v/>
      </c>
      <c r="AW19" s="208"/>
      <c r="AX19" s="208"/>
      <c r="AY19" s="208">
        <f>_xlfn.IFNA(INDEX('3.5.1'!$1:$104,MATCH(AY$4,'3.5.1'!$A:$A,0),MATCH(Summary!$C19,'3.5.1'!$1:$1,0)),"")</f>
        <v>10105.352</v>
      </c>
      <c r="AZ19" s="208"/>
      <c r="BA19" s="208"/>
      <c r="BB19" s="208">
        <f>_xlfn.IFNA(INDEX('3.5.1'!$1:$104,MATCH(BB$4,'3.5.1'!$A:$A,0),MATCH(Summary!$C19,'3.5.1'!$1:$1,0)),"")</f>
        <v>12543.956</v>
      </c>
      <c r="BC19" s="208"/>
      <c r="BD19" s="208"/>
      <c r="BE19" s="208" t="str">
        <f>_xlfn.IFNA(INDEX('3.5.1'!$1:$104,MATCH(BE$4,'3.5.1'!$A:$A,0),MATCH(Summary!$C19,'3.5.1'!$1:$1,0)),"")</f>
        <v/>
      </c>
      <c r="BF19" s="208"/>
      <c r="BG19" s="208"/>
      <c r="BH19" s="208" t="str">
        <f>_xlfn.IFNA(INDEX('3.5.1'!$1:$104,MATCH(BH$4,'3.5.1'!$A:$A,0),MATCH(Summary!$C19,'3.5.1'!$1:$1,0)),"")</f>
        <v/>
      </c>
      <c r="BI19" s="208"/>
      <c r="BJ19" s="208"/>
      <c r="BK19" s="208" t="str">
        <f>_xlfn.IFNA(INDEX('3.5.1'!$1:$104,MATCH(BK$4,'3.5.1'!$A:$A,0),MATCH(Summary!$C19,'3.5.1'!$1:$1,0)),"")</f>
        <v/>
      </c>
    </row>
    <row r="20" s="78" customFormat="1" hidden="1" outlineLevel="2" spans="1:63" ht="16.5" customHeight="1">
      <c r="A20" s="183"/>
      <c r="B20" s="183"/>
      <c r="C20" s="183" t="s">
        <v>49</v>
      </c>
      <c r="D20" s="203"/>
      <c r="E20" s="203"/>
      <c r="F20" s="218" t="s">
        <v>50</v>
      </c>
      <c r="G20" s="219" t="s">
        <v>51</v>
      </c>
      <c r="H20" s="206">
        <f t="shared" si="2"/>
        <v>0.00290580914358769</v>
      </c>
      <c r="I20" s="207" t="str">
        <f t="shared" si="1"/>
        <v/>
      </c>
      <c r="J20" s="208"/>
      <c r="K20" s="208"/>
      <c r="L20" s="208" t="str">
        <f>_xlfn.IFNA(INDEX('3.5.1'!$1:$104,MATCH(L$4,'3.5.1'!$A:$A,0),MATCH(Summary!$C20,'3.5.1'!$1:$1,0)),"")</f>
        <v/>
      </c>
      <c r="M20" s="208"/>
      <c r="N20" s="208"/>
      <c r="O20" s="208">
        <f>_xlfn.IFNA(INDEX('3.5.1'!$1:$104,MATCH(O$4,'3.5.1'!$A:$A,0),MATCH(Summary!$C20,'3.5.1'!$1:$1,0)),"")</f>
        <v>31347.566</v>
      </c>
      <c r="P20" s="208"/>
      <c r="Q20" s="208"/>
      <c r="R20" s="208" t="str">
        <f>_xlfn.IFNA(INDEX('3.5.1'!$1:$104,MATCH(R$4,'3.5.1'!$A:$A,0),MATCH(Summary!$C20,'3.5.1'!$1:$1,0)),"")</f>
        <v/>
      </c>
      <c r="S20" s="208"/>
      <c r="T20" s="208"/>
      <c r="U20" s="208" t="str">
        <f>_xlfn.IFNA(INDEX('3.5.1'!$1:$104,MATCH(U$4,'3.5.1'!$A:$A,0),MATCH(Summary!$C20,'3.5.1'!$1:$1,0)),"")</f>
        <v/>
      </c>
      <c r="V20" s="208"/>
      <c r="W20" s="208"/>
      <c r="X20" s="208">
        <f>_xlfn.IFNA(INDEX('3.5.1'!$1:$104,MATCH(X$4,'3.5.1'!$A:$A,0),MATCH(Summary!$C20,'3.5.1'!$1:$1,0)),"")</f>
        <v>27516.138</v>
      </c>
      <c r="Y20" s="208"/>
      <c r="Z20" s="208"/>
      <c r="AA20" s="208" t="str">
        <f>_xlfn.IFNA(INDEX('3.5.1'!$1:$104,MATCH(AA$4,'3.5.1'!$A:$A,0),MATCH(Summary!$C20,'3.5.1'!$1:$1,0)),"")</f>
        <v/>
      </c>
      <c r="AB20" s="208"/>
      <c r="AC20" s="208"/>
      <c r="AD20" s="208" t="str">
        <f>_xlfn.IFNA(INDEX('3.5.1'!$1:$104,MATCH(AD$4,'3.5.1'!$A:$A,0),MATCH(Summary!$C20,'3.5.1'!$1:$1,0)),"")</f>
        <v/>
      </c>
      <c r="AE20" s="208"/>
      <c r="AF20" s="208"/>
      <c r="AG20" s="208">
        <f>_xlfn.IFNA(INDEX('3.5.1'!$1:$104,MATCH(AG$4,'3.5.1'!$A:$A,0),MATCH(Summary!$C20,'3.5.1'!$1:$1,0)),"")</f>
        <v>26813.224</v>
      </c>
      <c r="AH20" s="208"/>
      <c r="AI20" s="208"/>
      <c r="AJ20" s="208" t="str">
        <f>_xlfn.IFNA(INDEX('3.5.1'!$1:$104,MATCH(AJ$4,'3.5.1'!$A:$A,0),MATCH(Summary!$C20,'3.5.1'!$1:$1,0)),"")</f>
        <v/>
      </c>
      <c r="AK20" s="208"/>
      <c r="AL20" s="208"/>
      <c r="AM20" s="208" t="str">
        <f>_xlfn.IFNA(INDEX('3.5.1'!$1:$104,MATCH(AM$4,'3.5.1'!$A:$A,0),MATCH(Summary!$C20,'3.5.1'!$1:$1,0)),"")</f>
        <v/>
      </c>
      <c r="AN20" s="208"/>
      <c r="AO20" s="208"/>
      <c r="AP20" s="208">
        <f>_xlfn.IFNA(INDEX('3.5.1'!$1:$104,MATCH(AP$4,'3.5.1'!$A:$A,0),MATCH(Summary!$C20,'3.5.1'!$1:$1,0)),"")</f>
        <v>27397.964</v>
      </c>
      <c r="AQ20" s="208"/>
      <c r="AR20" s="208"/>
      <c r="AS20" s="208" t="str">
        <f>_xlfn.IFNA(INDEX('3.5.1'!$1:$104,MATCH(AS$4,'3.5.1'!$A:$A,0),MATCH(Summary!$C20,'3.5.1'!$1:$1,0)),"")</f>
        <v/>
      </c>
      <c r="AT20" s="208"/>
      <c r="AU20" s="208"/>
      <c r="AV20" s="208" t="str">
        <f>_xlfn.IFNA(INDEX('3.5.1'!$1:$104,MATCH(AV$4,'3.5.1'!$A:$A,0),MATCH(Summary!$C20,'3.5.1'!$1:$1,0)),"")</f>
        <v/>
      </c>
      <c r="AW20" s="208"/>
      <c r="AX20" s="208"/>
      <c r="AY20" s="208">
        <f>_xlfn.IFNA(INDEX('3.5.1'!$1:$104,MATCH(AY$4,'3.5.1'!$A:$A,0),MATCH(Summary!$C20,'3.5.1'!$1:$1,0)),"")</f>
        <v>27564.337</v>
      </c>
      <c r="AZ20" s="208"/>
      <c r="BA20" s="208"/>
      <c r="BB20" s="208">
        <f>_xlfn.IFNA(INDEX('3.5.1'!$1:$104,MATCH(BB$4,'3.5.1'!$A:$A,0),MATCH(Summary!$C20,'3.5.1'!$1:$1,0)),"")</f>
        <v>21597.563</v>
      </c>
      <c r="BC20" s="208"/>
      <c r="BD20" s="208"/>
      <c r="BE20" s="208" t="str">
        <f>_xlfn.IFNA(INDEX('3.5.1'!$1:$104,MATCH(BE$4,'3.5.1'!$A:$A,0),MATCH(Summary!$C20,'3.5.1'!$1:$1,0)),"")</f>
        <v/>
      </c>
      <c r="BF20" s="208"/>
      <c r="BG20" s="208"/>
      <c r="BH20" s="208" t="str">
        <f>_xlfn.IFNA(INDEX('3.5.1'!$1:$104,MATCH(BH$4,'3.5.1'!$A:$A,0),MATCH(Summary!$C20,'3.5.1'!$1:$1,0)),"")</f>
        <v/>
      </c>
      <c r="BI20" s="208"/>
      <c r="BJ20" s="208"/>
      <c r="BK20" s="208" t="str">
        <f>_xlfn.IFNA(INDEX('3.5.1'!$1:$104,MATCH(BK$4,'3.5.1'!$A:$A,0),MATCH(Summary!$C20,'3.5.1'!$1:$1,0)),"")</f>
        <v/>
      </c>
    </row>
    <row r="21" s="78" customFormat="1" hidden="1" outlineLevel="2" spans="1:63" ht="16.5" customHeight="1">
      <c r="A21" s="183"/>
      <c r="B21" s="183"/>
      <c r="C21" s="183" t="s">
        <v>52</v>
      </c>
      <c r="D21" s="203"/>
      <c r="E21" s="203"/>
      <c r="F21" s="218" t="s">
        <v>53</v>
      </c>
      <c r="G21" s="219" t="s">
        <v>54</v>
      </c>
      <c r="H21" s="206">
        <f t="shared" si="2"/>
        <v>0.00425922869729722</v>
      </c>
      <c r="I21" s="207" t="str">
        <f t="shared" si="1"/>
        <v/>
      </c>
      <c r="J21" s="208"/>
      <c r="K21" s="208"/>
      <c r="L21" s="208" t="str">
        <f>_xlfn.IFNA(INDEX('3.5.1'!$1:$104,MATCH(L$4,'3.5.1'!$A:$A,0),MATCH(Summary!$C21,'3.5.1'!$1:$1,0)),"")</f>
        <v/>
      </c>
      <c r="M21" s="208"/>
      <c r="N21" s="208"/>
      <c r="O21" s="208">
        <f>_xlfn.IFNA(INDEX('3.5.1'!$1:$104,MATCH(O$4,'3.5.1'!$A:$A,0),MATCH(Summary!$C21,'3.5.1'!$1:$1,0)),"")</f>
        <v>45948.115</v>
      </c>
      <c r="P21" s="208"/>
      <c r="Q21" s="208"/>
      <c r="R21" s="208" t="str">
        <f>_xlfn.IFNA(INDEX('3.5.1'!$1:$104,MATCH(R$4,'3.5.1'!$A:$A,0),MATCH(Summary!$C21,'3.5.1'!$1:$1,0)),"")</f>
        <v/>
      </c>
      <c r="S21" s="208"/>
      <c r="T21" s="208"/>
      <c r="U21" s="208" t="str">
        <f>_xlfn.IFNA(INDEX('3.5.1'!$1:$104,MATCH(U$4,'3.5.1'!$A:$A,0),MATCH(Summary!$C21,'3.5.1'!$1:$1,0)),"")</f>
        <v/>
      </c>
      <c r="V21" s="208"/>
      <c r="W21" s="208"/>
      <c r="X21" s="208">
        <f>_xlfn.IFNA(INDEX('3.5.1'!$1:$104,MATCH(X$4,'3.5.1'!$A:$A,0),MATCH(Summary!$C21,'3.5.1'!$1:$1,0)),"")</f>
        <v>44021.965</v>
      </c>
      <c r="Y21" s="208"/>
      <c r="Z21" s="208"/>
      <c r="AA21" s="208" t="str">
        <f>_xlfn.IFNA(INDEX('3.5.1'!$1:$104,MATCH(AA$4,'3.5.1'!$A:$A,0),MATCH(Summary!$C21,'3.5.1'!$1:$1,0)),"")</f>
        <v/>
      </c>
      <c r="AB21" s="208"/>
      <c r="AC21" s="208"/>
      <c r="AD21" s="208" t="str">
        <f>_xlfn.IFNA(INDEX('3.5.1'!$1:$104,MATCH(AD$4,'3.5.1'!$A:$A,0),MATCH(Summary!$C21,'3.5.1'!$1:$1,0)),"")</f>
        <v/>
      </c>
      <c r="AE21" s="208"/>
      <c r="AF21" s="208"/>
      <c r="AG21" s="208">
        <f>_xlfn.IFNA(INDEX('3.5.1'!$1:$104,MATCH(AG$4,'3.5.1'!$A:$A,0),MATCH(Summary!$C21,'3.5.1'!$1:$1,0)),"")</f>
        <v>39803.767</v>
      </c>
      <c r="AH21" s="208"/>
      <c r="AI21" s="208"/>
      <c r="AJ21" s="208" t="str">
        <f>_xlfn.IFNA(INDEX('3.5.1'!$1:$104,MATCH(AJ$4,'3.5.1'!$A:$A,0),MATCH(Summary!$C21,'3.5.1'!$1:$1,0)),"")</f>
        <v/>
      </c>
      <c r="AK21" s="208"/>
      <c r="AL21" s="208"/>
      <c r="AM21" s="208" t="str">
        <f>_xlfn.IFNA(INDEX('3.5.1'!$1:$104,MATCH(AM$4,'3.5.1'!$A:$A,0),MATCH(Summary!$C21,'3.5.1'!$1:$1,0)),"")</f>
        <v/>
      </c>
      <c r="AN21" s="208"/>
      <c r="AO21" s="208"/>
      <c r="AP21" s="208">
        <f>_xlfn.IFNA(INDEX('3.5.1'!$1:$104,MATCH(AP$4,'3.5.1'!$A:$A,0),MATCH(Summary!$C21,'3.5.1'!$1:$1,0)),"")</f>
        <v>43053.556</v>
      </c>
      <c r="AQ21" s="208"/>
      <c r="AR21" s="208"/>
      <c r="AS21" s="208" t="str">
        <f>_xlfn.IFNA(INDEX('3.5.1'!$1:$104,MATCH(AS$4,'3.5.1'!$A:$A,0),MATCH(Summary!$C21,'3.5.1'!$1:$1,0)),"")</f>
        <v/>
      </c>
      <c r="AT21" s="208"/>
      <c r="AU21" s="208"/>
      <c r="AV21" s="208" t="str">
        <f>_xlfn.IFNA(INDEX('3.5.1'!$1:$104,MATCH(AV$4,'3.5.1'!$A:$A,0),MATCH(Summary!$C21,'3.5.1'!$1:$1,0)),"")</f>
        <v/>
      </c>
      <c r="AW21" s="208"/>
      <c r="AX21" s="208"/>
      <c r="AY21" s="208">
        <f>_xlfn.IFNA(INDEX('3.5.1'!$1:$104,MATCH(AY$4,'3.5.1'!$A:$A,0),MATCH(Summary!$C21,'3.5.1'!$1:$1,0)),"")</f>
        <v>43381.244</v>
      </c>
      <c r="AZ21" s="208"/>
      <c r="BA21" s="208"/>
      <c r="BB21" s="208">
        <f>_xlfn.IFNA(INDEX('3.5.1'!$1:$104,MATCH(BB$4,'3.5.1'!$A:$A,0),MATCH(Summary!$C21,'3.5.1'!$1:$1,0)),"")</f>
        <v>37385.872</v>
      </c>
      <c r="BC21" s="208"/>
      <c r="BD21" s="208"/>
      <c r="BE21" s="208" t="str">
        <f>_xlfn.IFNA(INDEX('3.5.1'!$1:$104,MATCH(BE$4,'3.5.1'!$A:$A,0),MATCH(Summary!$C21,'3.5.1'!$1:$1,0)),"")</f>
        <v/>
      </c>
      <c r="BF21" s="208"/>
      <c r="BG21" s="208"/>
      <c r="BH21" s="208" t="str">
        <f>_xlfn.IFNA(INDEX('3.5.1'!$1:$104,MATCH(BH$4,'3.5.1'!$A:$A,0),MATCH(Summary!$C21,'3.5.1'!$1:$1,0)),"")</f>
        <v/>
      </c>
      <c r="BI21" s="208"/>
      <c r="BJ21" s="208"/>
      <c r="BK21" s="208" t="str">
        <f>_xlfn.IFNA(INDEX('3.5.1'!$1:$104,MATCH(BK$4,'3.5.1'!$A:$A,0),MATCH(Summary!$C21,'3.5.1'!$1:$1,0)),"")</f>
        <v/>
      </c>
    </row>
    <row r="22" s="78" customFormat="1" hidden="1" outlineLevel="2" spans="1:63" ht="16.5" customHeight="1">
      <c r="A22" s="183"/>
      <c r="B22" s="183"/>
      <c r="C22" s="183" t="s">
        <v>55</v>
      </c>
      <c r="D22" s="203"/>
      <c r="E22" s="203"/>
      <c r="F22" s="218" t="s">
        <v>56</v>
      </c>
      <c r="G22" s="219" t="s">
        <v>57</v>
      </c>
      <c r="H22" s="206">
        <f t="shared" si="2"/>
        <v>0.00677888672196315</v>
      </c>
      <c r="I22" s="207" t="str">
        <f t="shared" si="1"/>
        <v/>
      </c>
      <c r="J22" s="208"/>
      <c r="K22" s="208"/>
      <c r="L22" s="208" t="str">
        <f>_xlfn.IFNA(INDEX('3.5.1'!$1:$104,MATCH(L$4,'3.5.1'!$A:$A,0),MATCH(Summary!$C22,'3.5.1'!$1:$1,0)),"")</f>
        <v/>
      </c>
      <c r="M22" s="208"/>
      <c r="N22" s="208"/>
      <c r="O22" s="208">
        <f>_xlfn.IFNA(INDEX('3.5.1'!$1:$104,MATCH(O$4,'3.5.1'!$A:$A,0),MATCH(Summary!$C22,'3.5.1'!$1:$1,0)),"")</f>
        <v>73129.923</v>
      </c>
      <c r="P22" s="208"/>
      <c r="Q22" s="208"/>
      <c r="R22" s="208" t="str">
        <f>_xlfn.IFNA(INDEX('3.5.1'!$1:$104,MATCH(R$4,'3.5.1'!$A:$A,0),MATCH(Summary!$C22,'3.5.1'!$1:$1,0)),"")</f>
        <v/>
      </c>
      <c r="S22" s="208"/>
      <c r="T22" s="208"/>
      <c r="U22" s="208" t="str">
        <f>_xlfn.IFNA(INDEX('3.5.1'!$1:$104,MATCH(U$4,'3.5.1'!$A:$A,0),MATCH(Summary!$C22,'3.5.1'!$1:$1,0)),"")</f>
        <v/>
      </c>
      <c r="V22" s="208"/>
      <c r="W22" s="208"/>
      <c r="X22" s="208">
        <f>_xlfn.IFNA(INDEX('3.5.1'!$1:$104,MATCH(X$4,'3.5.1'!$A:$A,0),MATCH(Summary!$C22,'3.5.1'!$1:$1,0)),"")</f>
        <v>63578.479</v>
      </c>
      <c r="Y22" s="208"/>
      <c r="Z22" s="208"/>
      <c r="AA22" s="208" t="str">
        <f>_xlfn.IFNA(INDEX('3.5.1'!$1:$104,MATCH(AA$4,'3.5.1'!$A:$A,0),MATCH(Summary!$C22,'3.5.1'!$1:$1,0)),"")</f>
        <v/>
      </c>
      <c r="AB22" s="208"/>
      <c r="AC22" s="208"/>
      <c r="AD22" s="208" t="str">
        <f>_xlfn.IFNA(INDEX('3.5.1'!$1:$104,MATCH(AD$4,'3.5.1'!$A:$A,0),MATCH(Summary!$C22,'3.5.1'!$1:$1,0)),"")</f>
        <v/>
      </c>
      <c r="AE22" s="208"/>
      <c r="AF22" s="208"/>
      <c r="AG22" s="208">
        <f>_xlfn.IFNA(INDEX('3.5.1'!$1:$104,MATCH(AG$4,'3.5.1'!$A:$A,0),MATCH(Summary!$C22,'3.5.1'!$1:$1,0)),"")</f>
        <v>62683.653</v>
      </c>
      <c r="AH22" s="208"/>
      <c r="AI22" s="208"/>
      <c r="AJ22" s="208" t="str">
        <f>_xlfn.IFNA(INDEX('3.5.1'!$1:$104,MATCH(AJ$4,'3.5.1'!$A:$A,0),MATCH(Summary!$C22,'3.5.1'!$1:$1,0)),"")</f>
        <v/>
      </c>
      <c r="AK22" s="208"/>
      <c r="AL22" s="208"/>
      <c r="AM22" s="208" t="str">
        <f>_xlfn.IFNA(INDEX('3.5.1'!$1:$104,MATCH(AM$4,'3.5.1'!$A:$A,0),MATCH(Summary!$C22,'3.5.1'!$1:$1,0)),"")</f>
        <v/>
      </c>
      <c r="AN22" s="208"/>
      <c r="AO22" s="208"/>
      <c r="AP22" s="208">
        <f>_xlfn.IFNA(INDEX('3.5.1'!$1:$104,MATCH(AP$4,'3.5.1'!$A:$A,0),MATCH(Summary!$C22,'3.5.1'!$1:$1,0)),"")</f>
        <v>72133.026</v>
      </c>
      <c r="AQ22" s="208"/>
      <c r="AR22" s="208"/>
      <c r="AS22" s="208" t="str">
        <f>_xlfn.IFNA(INDEX('3.5.1'!$1:$104,MATCH(AS$4,'3.5.1'!$A:$A,0),MATCH(Summary!$C22,'3.5.1'!$1:$1,0)),"")</f>
        <v/>
      </c>
      <c r="AT22" s="208"/>
      <c r="AU22" s="208"/>
      <c r="AV22" s="208" t="str">
        <f>_xlfn.IFNA(INDEX('3.5.1'!$1:$104,MATCH(AV$4,'3.5.1'!$A:$A,0),MATCH(Summary!$C22,'3.5.1'!$1:$1,0)),"")</f>
        <v/>
      </c>
      <c r="AW22" s="208"/>
      <c r="AX22" s="208"/>
      <c r="AY22" s="208">
        <f>_xlfn.IFNA(INDEX('3.5.1'!$1:$104,MATCH(AY$4,'3.5.1'!$A:$A,0),MATCH(Summary!$C22,'3.5.1'!$1:$1,0)),"")</f>
        <v>64991.74</v>
      </c>
      <c r="AZ22" s="208"/>
      <c r="BA22" s="208"/>
      <c r="BB22" s="208">
        <f>_xlfn.IFNA(INDEX('3.5.1'!$1:$104,MATCH(BB$4,'3.5.1'!$A:$A,0),MATCH(Summary!$C22,'3.5.1'!$1:$1,0)),"")</f>
        <v>57264.194</v>
      </c>
      <c r="BC22" s="208"/>
      <c r="BD22" s="208"/>
      <c r="BE22" s="208" t="str">
        <f>_xlfn.IFNA(INDEX('3.5.1'!$1:$104,MATCH(BE$4,'3.5.1'!$A:$A,0),MATCH(Summary!$C22,'3.5.1'!$1:$1,0)),"")</f>
        <v/>
      </c>
      <c r="BF22" s="208"/>
      <c r="BG22" s="208"/>
      <c r="BH22" s="208" t="str">
        <f>_xlfn.IFNA(INDEX('3.5.1'!$1:$104,MATCH(BH$4,'3.5.1'!$A:$A,0),MATCH(Summary!$C22,'3.5.1'!$1:$1,0)),"")</f>
        <v/>
      </c>
      <c r="BI22" s="208"/>
      <c r="BJ22" s="208"/>
      <c r="BK22" s="208" t="str">
        <f>_xlfn.IFNA(INDEX('3.5.1'!$1:$104,MATCH(BK$4,'3.5.1'!$A:$A,0),MATCH(Summary!$C22,'3.5.1'!$1:$1,0)),"")</f>
        <v/>
      </c>
    </row>
    <row r="23" s="78" customFormat="1" hidden="1" outlineLevel="2" spans="1:63" ht="16.5" customHeight="1">
      <c r="A23" s="183"/>
      <c r="B23" s="183"/>
      <c r="C23" s="183" t="s">
        <v>58</v>
      </c>
      <c r="D23" s="203"/>
      <c r="E23" s="203"/>
      <c r="F23" s="218" t="s">
        <v>59</v>
      </c>
      <c r="G23" s="219" t="s">
        <v>60</v>
      </c>
      <c r="H23" s="206">
        <f t="shared" si="2"/>
        <v>0</v>
      </c>
      <c r="I23" s="207" t="str">
        <f t="shared" si="1"/>
        <v/>
      </c>
      <c r="J23" s="208"/>
      <c r="K23" s="208"/>
      <c r="L23" s="208" t="str">
        <f>_xlfn.IFNA(INDEX('3.5.1'!$1:$104,MATCH(L$4,'3.5.1'!$A:$A,0),MATCH(Summary!$C23,'3.5.1'!$1:$1,0)),"")</f>
        <v/>
      </c>
      <c r="M23" s="208"/>
      <c r="N23" s="208"/>
      <c r="O23" s="208">
        <f>_xlfn.IFNA(INDEX('3.5.1'!$1:$104,MATCH(O$4,'3.5.1'!$A:$A,0),MATCH(Summary!$C23,'3.5.1'!$1:$1,0)),"")</f>
        <v>0</v>
      </c>
      <c r="P23" s="208"/>
      <c r="Q23" s="208"/>
      <c r="R23" s="208" t="str">
        <f>_xlfn.IFNA(INDEX('3.5.1'!$1:$104,MATCH(R$4,'3.5.1'!$A:$A,0),MATCH(Summary!$C23,'3.5.1'!$1:$1,0)),"")</f>
        <v/>
      </c>
      <c r="S23" s="208"/>
      <c r="T23" s="208"/>
      <c r="U23" s="208" t="str">
        <f>_xlfn.IFNA(INDEX('3.5.1'!$1:$104,MATCH(U$4,'3.5.1'!$A:$A,0),MATCH(Summary!$C23,'3.5.1'!$1:$1,0)),"")</f>
        <v/>
      </c>
      <c r="V23" s="208"/>
      <c r="W23" s="208"/>
      <c r="X23" s="208">
        <f>_xlfn.IFNA(INDEX('3.5.1'!$1:$104,MATCH(X$4,'3.5.1'!$A:$A,0),MATCH(Summary!$C23,'3.5.1'!$1:$1,0)),"")</f>
        <v>0</v>
      </c>
      <c r="Y23" s="208"/>
      <c r="Z23" s="208"/>
      <c r="AA23" s="208" t="str">
        <f>_xlfn.IFNA(INDEX('3.5.1'!$1:$104,MATCH(AA$4,'3.5.1'!$A:$A,0),MATCH(Summary!$C23,'3.5.1'!$1:$1,0)),"")</f>
        <v/>
      </c>
      <c r="AB23" s="208"/>
      <c r="AC23" s="208"/>
      <c r="AD23" s="208" t="str">
        <f>_xlfn.IFNA(INDEX('3.5.1'!$1:$104,MATCH(AD$4,'3.5.1'!$A:$A,0),MATCH(Summary!$C23,'3.5.1'!$1:$1,0)),"")</f>
        <v/>
      </c>
      <c r="AE23" s="208"/>
      <c r="AF23" s="208"/>
      <c r="AG23" s="208">
        <f>_xlfn.IFNA(INDEX('3.5.1'!$1:$104,MATCH(AG$4,'3.5.1'!$A:$A,0),MATCH(Summary!$C23,'3.5.1'!$1:$1,0)),"")</f>
        <v>0</v>
      </c>
      <c r="AH23" s="208"/>
      <c r="AI23" s="208"/>
      <c r="AJ23" s="208" t="str">
        <f>_xlfn.IFNA(INDEX('3.5.1'!$1:$104,MATCH(AJ$4,'3.5.1'!$A:$A,0),MATCH(Summary!$C23,'3.5.1'!$1:$1,0)),"")</f>
        <v/>
      </c>
      <c r="AK23" s="208"/>
      <c r="AL23" s="208"/>
      <c r="AM23" s="208" t="str">
        <f>_xlfn.IFNA(INDEX('3.5.1'!$1:$104,MATCH(AM$4,'3.5.1'!$A:$A,0),MATCH(Summary!$C23,'3.5.1'!$1:$1,0)),"")</f>
        <v/>
      </c>
      <c r="AN23" s="208"/>
      <c r="AO23" s="208"/>
      <c r="AP23" s="208">
        <f>_xlfn.IFNA(INDEX('3.5.1'!$1:$104,MATCH(AP$4,'3.5.1'!$A:$A,0),MATCH(Summary!$C23,'3.5.1'!$1:$1,0)),"")</f>
        <v>0</v>
      </c>
      <c r="AQ23" s="208"/>
      <c r="AR23" s="208"/>
      <c r="AS23" s="208" t="str">
        <f>_xlfn.IFNA(INDEX('3.5.1'!$1:$104,MATCH(AS$4,'3.5.1'!$A:$A,0),MATCH(Summary!$C23,'3.5.1'!$1:$1,0)),"")</f>
        <v/>
      </c>
      <c r="AT23" s="208"/>
      <c r="AU23" s="208"/>
      <c r="AV23" s="208" t="str">
        <f>_xlfn.IFNA(INDEX('3.5.1'!$1:$104,MATCH(AV$4,'3.5.1'!$A:$A,0),MATCH(Summary!$C23,'3.5.1'!$1:$1,0)),"")</f>
        <v/>
      </c>
      <c r="AW23" s="208"/>
      <c r="AX23" s="208"/>
      <c r="AY23" s="208">
        <f>_xlfn.IFNA(INDEX('3.5.1'!$1:$104,MATCH(AY$4,'3.5.1'!$A:$A,0),MATCH(Summary!$C23,'3.5.1'!$1:$1,0)),"")</f>
        <v>0</v>
      </c>
      <c r="AZ23" s="208"/>
      <c r="BA23" s="208"/>
      <c r="BB23" s="208">
        <f>_xlfn.IFNA(INDEX('3.5.1'!$1:$104,MATCH(BB$4,'3.5.1'!$A:$A,0),MATCH(Summary!$C23,'3.5.1'!$1:$1,0)),"")</f>
        <v>0</v>
      </c>
      <c r="BC23" s="208"/>
      <c r="BD23" s="208"/>
      <c r="BE23" s="208" t="str">
        <f>_xlfn.IFNA(INDEX('3.5.1'!$1:$104,MATCH(BE$4,'3.5.1'!$A:$A,0),MATCH(Summary!$C23,'3.5.1'!$1:$1,0)),"")</f>
        <v/>
      </c>
      <c r="BF23" s="208"/>
      <c r="BG23" s="208"/>
      <c r="BH23" s="208" t="str">
        <f>_xlfn.IFNA(INDEX('3.5.1'!$1:$104,MATCH(BH$4,'3.5.1'!$A:$A,0),MATCH(Summary!$C23,'3.5.1'!$1:$1,0)),"")</f>
        <v/>
      </c>
      <c r="BI23" s="208"/>
      <c r="BJ23" s="208"/>
      <c r="BK23" s="208" t="str">
        <f>_xlfn.IFNA(INDEX('3.5.1'!$1:$104,MATCH(BK$4,'3.5.1'!$A:$A,0),MATCH(Summary!$C23,'3.5.1'!$1:$1,0)),"")</f>
        <v/>
      </c>
    </row>
    <row r="24" s="78" customFormat="1" hidden="1" outlineLevel="2" spans="1:63" ht="16.5" customHeight="1">
      <c r="A24" s="183"/>
      <c r="B24" s="183"/>
      <c r="C24" s="183" t="s">
        <v>61</v>
      </c>
      <c r="D24" s="203"/>
      <c r="E24" s="203"/>
      <c r="F24" s="218" t="s">
        <v>62</v>
      </c>
      <c r="G24" s="219" t="s">
        <v>63</v>
      </c>
      <c r="H24" s="206">
        <f t="shared" si="2"/>
        <v>0.00564762569332483</v>
      </c>
      <c r="I24" s="207" t="str">
        <f t="shared" si="1"/>
        <v/>
      </c>
      <c r="J24" s="208"/>
      <c r="K24" s="208"/>
      <c r="L24" s="208" t="str">
        <f>_xlfn.IFNA(INDEX('3.5.1'!$1:$104,MATCH(L$4,'3.5.1'!$A:$A,0),MATCH(Summary!$C24,'3.5.1'!$1:$1,0)),"")</f>
        <v/>
      </c>
      <c r="M24" s="208"/>
      <c r="N24" s="208"/>
      <c r="O24" s="208">
        <f>_xlfn.IFNA(INDEX('3.5.1'!$1:$104,MATCH(O$4,'3.5.1'!$A:$A,0),MATCH(Summary!$C24,'3.5.1'!$1:$1,0)),"")</f>
        <v>60925.997</v>
      </c>
      <c r="P24" s="208"/>
      <c r="Q24" s="208"/>
      <c r="R24" s="208" t="str">
        <f>_xlfn.IFNA(INDEX('3.5.1'!$1:$104,MATCH(R$4,'3.5.1'!$A:$A,0),MATCH(Summary!$C24,'3.5.1'!$1:$1,0)),"")</f>
        <v/>
      </c>
      <c r="S24" s="208"/>
      <c r="T24" s="208"/>
      <c r="U24" s="208" t="str">
        <f>_xlfn.IFNA(INDEX('3.5.1'!$1:$104,MATCH(U$4,'3.5.1'!$A:$A,0),MATCH(Summary!$C24,'3.5.1'!$1:$1,0)),"")</f>
        <v/>
      </c>
      <c r="V24" s="208"/>
      <c r="W24" s="208"/>
      <c r="X24" s="208">
        <f>_xlfn.IFNA(INDEX('3.5.1'!$1:$104,MATCH(X$4,'3.5.1'!$A:$A,0),MATCH(Summary!$C24,'3.5.1'!$1:$1,0)),"")</f>
        <v>61296.591</v>
      </c>
      <c r="Y24" s="208"/>
      <c r="Z24" s="208"/>
      <c r="AA24" s="208" t="str">
        <f>_xlfn.IFNA(INDEX('3.5.1'!$1:$104,MATCH(AA$4,'3.5.1'!$A:$A,0),MATCH(Summary!$C24,'3.5.1'!$1:$1,0)),"")</f>
        <v/>
      </c>
      <c r="AB24" s="208"/>
      <c r="AC24" s="208"/>
      <c r="AD24" s="208" t="str">
        <f>_xlfn.IFNA(INDEX('3.5.1'!$1:$104,MATCH(AD$4,'3.5.1'!$A:$A,0),MATCH(Summary!$C24,'3.5.1'!$1:$1,0)),"")</f>
        <v/>
      </c>
      <c r="AE24" s="208"/>
      <c r="AF24" s="208"/>
      <c r="AG24" s="208">
        <f>_xlfn.IFNA(INDEX('3.5.1'!$1:$104,MATCH(AG$4,'3.5.1'!$A:$A,0),MATCH(Summary!$C24,'3.5.1'!$1:$1,0)),"")</f>
        <v>54150.184</v>
      </c>
      <c r="AH24" s="208"/>
      <c r="AI24" s="208"/>
      <c r="AJ24" s="208" t="str">
        <f>_xlfn.IFNA(INDEX('3.5.1'!$1:$104,MATCH(AJ$4,'3.5.1'!$A:$A,0),MATCH(Summary!$C24,'3.5.1'!$1:$1,0)),"")</f>
        <v/>
      </c>
      <c r="AK24" s="208"/>
      <c r="AL24" s="208"/>
      <c r="AM24" s="208" t="str">
        <f>_xlfn.IFNA(INDEX('3.5.1'!$1:$104,MATCH(AM$4,'3.5.1'!$A:$A,0),MATCH(Summary!$C24,'3.5.1'!$1:$1,0)),"")</f>
        <v/>
      </c>
      <c r="AN24" s="208"/>
      <c r="AO24" s="208"/>
      <c r="AP24" s="208">
        <f>_xlfn.IFNA(INDEX('3.5.1'!$1:$104,MATCH(AP$4,'3.5.1'!$A:$A,0),MATCH(Summary!$C24,'3.5.1'!$1:$1,0)),"")</f>
        <v>49492.873</v>
      </c>
      <c r="AQ24" s="208"/>
      <c r="AR24" s="208"/>
      <c r="AS24" s="208" t="str">
        <f>_xlfn.IFNA(INDEX('3.5.1'!$1:$104,MATCH(AS$4,'3.5.1'!$A:$A,0),MATCH(Summary!$C24,'3.5.1'!$1:$1,0)),"")</f>
        <v/>
      </c>
      <c r="AT24" s="208"/>
      <c r="AU24" s="208"/>
      <c r="AV24" s="208" t="str">
        <f>_xlfn.IFNA(INDEX('3.5.1'!$1:$104,MATCH(AV$4,'3.5.1'!$A:$A,0),MATCH(Summary!$C24,'3.5.1'!$1:$1,0)),"")</f>
        <v/>
      </c>
      <c r="AW24" s="208"/>
      <c r="AX24" s="208"/>
      <c r="AY24" s="208">
        <f>_xlfn.IFNA(INDEX('3.5.1'!$1:$104,MATCH(AY$4,'3.5.1'!$A:$A,0),MATCH(Summary!$C24,'3.5.1'!$1:$1,0)),"")</f>
        <v>51873.188</v>
      </c>
      <c r="AZ24" s="208"/>
      <c r="BA24" s="208"/>
      <c r="BB24" s="208">
        <f>_xlfn.IFNA(INDEX('3.5.1'!$1:$104,MATCH(BB$4,'3.5.1'!$A:$A,0),MATCH(Summary!$C24,'3.5.1'!$1:$1,0)),"")</f>
        <v>52623.241</v>
      </c>
      <c r="BC24" s="208"/>
      <c r="BD24" s="208"/>
      <c r="BE24" s="208" t="str">
        <f>_xlfn.IFNA(INDEX('3.5.1'!$1:$104,MATCH(BE$4,'3.5.1'!$A:$A,0),MATCH(Summary!$C24,'3.5.1'!$1:$1,0)),"")</f>
        <v/>
      </c>
      <c r="BF24" s="208"/>
      <c r="BG24" s="208"/>
      <c r="BH24" s="208" t="str">
        <f>_xlfn.IFNA(INDEX('3.5.1'!$1:$104,MATCH(BH$4,'3.5.1'!$A:$A,0),MATCH(Summary!$C24,'3.5.1'!$1:$1,0)),"")</f>
        <v/>
      </c>
      <c r="BI24" s="208"/>
      <c r="BJ24" s="208"/>
      <c r="BK24" s="208" t="str">
        <f>_xlfn.IFNA(INDEX('3.5.1'!$1:$104,MATCH(BK$4,'3.5.1'!$A:$A,0),MATCH(Summary!$C24,'3.5.1'!$1:$1,0)),"")</f>
        <v/>
      </c>
    </row>
    <row r="25" s="78" customFormat="1" hidden="1" outlineLevel="2" spans="1:63" ht="16.5" customHeight="1">
      <c r="A25" s="183"/>
      <c r="B25" s="183"/>
      <c r="C25" s="183" t="s">
        <v>64</v>
      </c>
      <c r="D25" s="203"/>
      <c r="E25" s="203"/>
      <c r="F25" s="203" t="s">
        <v>65</v>
      </c>
      <c r="G25" s="205" t="s">
        <v>66</v>
      </c>
      <c r="H25" s="206">
        <f t="shared" si="2"/>
        <v>0.000926839419561493</v>
      </c>
      <c r="I25" s="207" t="str">
        <f t="shared" si="1"/>
        <v/>
      </c>
      <c r="J25" s="208"/>
      <c r="K25" s="208"/>
      <c r="L25" s="208" t="str">
        <f>_xlfn.IFNA(INDEX('3.5.1'!$1:$104,MATCH(L$4,'3.5.1'!$A:$A,0),MATCH(Summary!$C25,'3.5.1'!$1:$1,0)),"")</f>
        <v/>
      </c>
      <c r="M25" s="208"/>
      <c r="N25" s="208"/>
      <c r="O25" s="208">
        <f>_xlfn.IFNA(INDEX('3.5.1'!$1:$104,MATCH(O$4,'3.5.1'!$A:$A,0),MATCH(Summary!$C25,'3.5.1'!$1:$1,0)),"")</f>
        <v>9998.647</v>
      </c>
      <c r="P25" s="208"/>
      <c r="Q25" s="208"/>
      <c r="R25" s="208" t="str">
        <f>_xlfn.IFNA(INDEX('3.5.1'!$1:$104,MATCH(R$4,'3.5.1'!$A:$A,0),MATCH(Summary!$C25,'3.5.1'!$1:$1,0)),"")</f>
        <v/>
      </c>
      <c r="S25" s="208"/>
      <c r="T25" s="208"/>
      <c r="U25" s="208" t="str">
        <f>_xlfn.IFNA(INDEX('3.5.1'!$1:$104,MATCH(U$4,'3.5.1'!$A:$A,0),MATCH(Summary!$C25,'3.5.1'!$1:$1,0)),"")</f>
        <v/>
      </c>
      <c r="V25" s="208"/>
      <c r="W25" s="208"/>
      <c r="X25" s="208">
        <f>_xlfn.IFNA(INDEX('3.5.1'!$1:$104,MATCH(X$4,'3.5.1'!$A:$A,0),MATCH(Summary!$C25,'3.5.1'!$1:$1,0)),"")</f>
        <v>6636.04</v>
      </c>
      <c r="Y25" s="208"/>
      <c r="Z25" s="208"/>
      <c r="AA25" s="208" t="str">
        <f>_xlfn.IFNA(INDEX('3.5.1'!$1:$104,MATCH(AA$4,'3.5.1'!$A:$A,0),MATCH(Summary!$C25,'3.5.1'!$1:$1,0)),"")</f>
        <v/>
      </c>
      <c r="AB25" s="208"/>
      <c r="AC25" s="208"/>
      <c r="AD25" s="208" t="str">
        <f>_xlfn.IFNA(INDEX('3.5.1'!$1:$104,MATCH(AD$4,'3.5.1'!$A:$A,0),MATCH(Summary!$C25,'3.5.1'!$1:$1,0)),"")</f>
        <v/>
      </c>
      <c r="AE25" s="208"/>
      <c r="AF25" s="208"/>
      <c r="AG25" s="208">
        <f>_xlfn.IFNA(INDEX('3.5.1'!$1:$104,MATCH(AG$4,'3.5.1'!$A:$A,0),MATCH(Summary!$C25,'3.5.1'!$1:$1,0)),"")</f>
        <v>6090.297</v>
      </c>
      <c r="AH25" s="208"/>
      <c r="AI25" s="208"/>
      <c r="AJ25" s="208" t="str">
        <f>_xlfn.IFNA(INDEX('3.5.1'!$1:$104,MATCH(AJ$4,'3.5.1'!$A:$A,0),MATCH(Summary!$C25,'3.5.1'!$1:$1,0)),"")</f>
        <v/>
      </c>
      <c r="AK25" s="208"/>
      <c r="AL25" s="208"/>
      <c r="AM25" s="208" t="str">
        <f>_xlfn.IFNA(INDEX('3.5.1'!$1:$104,MATCH(AM$4,'3.5.1'!$A:$A,0),MATCH(Summary!$C25,'3.5.1'!$1:$1,0)),"")</f>
        <v/>
      </c>
      <c r="AN25" s="208"/>
      <c r="AO25" s="208"/>
      <c r="AP25" s="208">
        <f>_xlfn.IFNA(INDEX('3.5.1'!$1:$104,MATCH(AP$4,'3.5.1'!$A:$A,0),MATCH(Summary!$C25,'3.5.1'!$1:$1,0)),"")</f>
        <v>5069.957</v>
      </c>
      <c r="AQ25" s="208"/>
      <c r="AR25" s="208"/>
      <c r="AS25" s="208" t="str">
        <f>_xlfn.IFNA(INDEX('3.5.1'!$1:$104,MATCH(AS$4,'3.5.1'!$A:$A,0),MATCH(Summary!$C25,'3.5.1'!$1:$1,0)),"")</f>
        <v/>
      </c>
      <c r="AT25" s="208"/>
      <c r="AU25" s="208"/>
      <c r="AV25" s="208" t="str">
        <f>_xlfn.IFNA(INDEX('3.5.1'!$1:$104,MATCH(AV$4,'3.5.1'!$A:$A,0),MATCH(Summary!$C25,'3.5.1'!$1:$1,0)),"")</f>
        <v/>
      </c>
      <c r="AW25" s="208"/>
      <c r="AX25" s="208"/>
      <c r="AY25" s="208">
        <f>_xlfn.IFNA(INDEX('3.5.1'!$1:$104,MATCH(AY$4,'3.5.1'!$A:$A,0),MATCH(Summary!$C25,'3.5.1'!$1:$1,0)),"")</f>
        <v>5434.78</v>
      </c>
      <c r="AZ25" s="208"/>
      <c r="BA25" s="208"/>
      <c r="BB25" s="208">
        <f>_xlfn.IFNA(INDEX('3.5.1'!$1:$104,MATCH(BB$4,'3.5.1'!$A:$A,0),MATCH(Summary!$C25,'3.5.1'!$1:$1,0)),"")</f>
        <v>6571.414</v>
      </c>
      <c r="BC25" s="208"/>
      <c r="BD25" s="208"/>
      <c r="BE25" s="208" t="str">
        <f>_xlfn.IFNA(INDEX('3.5.1'!$1:$104,MATCH(BE$4,'3.5.1'!$A:$A,0),MATCH(Summary!$C25,'3.5.1'!$1:$1,0)),"")</f>
        <v/>
      </c>
      <c r="BF25" s="208"/>
      <c r="BG25" s="208"/>
      <c r="BH25" s="208" t="str">
        <f>_xlfn.IFNA(INDEX('3.5.1'!$1:$104,MATCH(BH$4,'3.5.1'!$A:$A,0),MATCH(Summary!$C25,'3.5.1'!$1:$1,0)),"")</f>
        <v/>
      </c>
      <c r="BI25" s="208"/>
      <c r="BJ25" s="208"/>
      <c r="BK25" s="208" t="str">
        <f>_xlfn.IFNA(INDEX('3.5.1'!$1:$104,MATCH(BK$4,'3.5.1'!$A:$A,0),MATCH(Summary!$C25,'3.5.1'!$1:$1,0)),"")</f>
        <v/>
      </c>
    </row>
    <row r="26" s="78" customFormat="1" hidden="1" outlineLevel="2" spans="1:63" ht="16.5" customHeight="1">
      <c r="A26" s="183"/>
      <c r="B26" s="183"/>
      <c r="C26" s="183" t="s">
        <v>67</v>
      </c>
      <c r="D26" s="203"/>
      <c r="E26" s="203"/>
      <c r="F26" s="203" t="s">
        <v>68</v>
      </c>
      <c r="G26" s="205" t="s">
        <v>69</v>
      </c>
      <c r="H26" s="206">
        <f t="shared" si="2"/>
        <v>0.00472078627376334</v>
      </c>
      <c r="I26" s="207" t="str">
        <f t="shared" si="1"/>
        <v/>
      </c>
      <c r="J26" s="208"/>
      <c r="K26" s="208"/>
      <c r="L26" s="208" t="str">
        <f>_xlfn.IFNA(INDEX('3.5.1'!$1:$104,MATCH(L$4,'3.5.1'!$A:$A,0),MATCH(Summary!$C26,'3.5.1'!$1:$1,0)),"")</f>
        <v/>
      </c>
      <c r="M26" s="208"/>
      <c r="N26" s="208"/>
      <c r="O26" s="208">
        <f>_xlfn.IFNA(INDEX('3.5.1'!$1:$104,MATCH(O$4,'3.5.1'!$A:$A,0),MATCH(Summary!$C26,'3.5.1'!$1:$1,0)),"")</f>
        <v>50927.35</v>
      </c>
      <c r="P26" s="208"/>
      <c r="Q26" s="208"/>
      <c r="R26" s="208" t="str">
        <f>_xlfn.IFNA(INDEX('3.5.1'!$1:$104,MATCH(R$4,'3.5.1'!$A:$A,0),MATCH(Summary!$C26,'3.5.1'!$1:$1,0)),"")</f>
        <v/>
      </c>
      <c r="S26" s="208"/>
      <c r="T26" s="208"/>
      <c r="U26" s="208" t="str">
        <f>_xlfn.IFNA(INDEX('3.5.1'!$1:$104,MATCH(U$4,'3.5.1'!$A:$A,0),MATCH(Summary!$C26,'3.5.1'!$1:$1,0)),"")</f>
        <v/>
      </c>
      <c r="V26" s="208"/>
      <c r="W26" s="208"/>
      <c r="X26" s="208">
        <f>_xlfn.IFNA(INDEX('3.5.1'!$1:$104,MATCH(X$4,'3.5.1'!$A:$A,0),MATCH(Summary!$C26,'3.5.1'!$1:$1,0)),"")</f>
        <v>54660.551</v>
      </c>
      <c r="Y26" s="208"/>
      <c r="Z26" s="208"/>
      <c r="AA26" s="208" t="str">
        <f>_xlfn.IFNA(INDEX('3.5.1'!$1:$104,MATCH(AA$4,'3.5.1'!$A:$A,0),MATCH(Summary!$C26,'3.5.1'!$1:$1,0)),"")</f>
        <v/>
      </c>
      <c r="AB26" s="208"/>
      <c r="AC26" s="208"/>
      <c r="AD26" s="208" t="str">
        <f>_xlfn.IFNA(INDEX('3.5.1'!$1:$104,MATCH(AD$4,'3.5.1'!$A:$A,0),MATCH(Summary!$C26,'3.5.1'!$1:$1,0)),"")</f>
        <v/>
      </c>
      <c r="AE26" s="208"/>
      <c r="AF26" s="208"/>
      <c r="AG26" s="208">
        <f>_xlfn.IFNA(INDEX('3.5.1'!$1:$104,MATCH(AG$4,'3.5.1'!$A:$A,0),MATCH(Summary!$C26,'3.5.1'!$1:$1,0)),"")</f>
        <v>48059.887</v>
      </c>
      <c r="AH26" s="208"/>
      <c r="AI26" s="208"/>
      <c r="AJ26" s="208" t="str">
        <f>_xlfn.IFNA(INDEX('3.5.1'!$1:$104,MATCH(AJ$4,'3.5.1'!$A:$A,0),MATCH(Summary!$C26,'3.5.1'!$1:$1,0)),"")</f>
        <v/>
      </c>
      <c r="AK26" s="208"/>
      <c r="AL26" s="208"/>
      <c r="AM26" s="208" t="str">
        <f>_xlfn.IFNA(INDEX('3.5.1'!$1:$104,MATCH(AM$4,'3.5.1'!$A:$A,0),MATCH(Summary!$C26,'3.5.1'!$1:$1,0)),"")</f>
        <v/>
      </c>
      <c r="AN26" s="208"/>
      <c r="AO26" s="208"/>
      <c r="AP26" s="208">
        <f>_xlfn.IFNA(INDEX('3.5.1'!$1:$104,MATCH(AP$4,'3.5.1'!$A:$A,0),MATCH(Summary!$C26,'3.5.1'!$1:$1,0)),"")</f>
        <v>44422.916</v>
      </c>
      <c r="AQ26" s="208"/>
      <c r="AR26" s="208"/>
      <c r="AS26" s="208" t="str">
        <f>_xlfn.IFNA(INDEX('3.5.1'!$1:$104,MATCH(AS$4,'3.5.1'!$A:$A,0),MATCH(Summary!$C26,'3.5.1'!$1:$1,0)),"")</f>
        <v/>
      </c>
      <c r="AT26" s="208"/>
      <c r="AU26" s="208"/>
      <c r="AV26" s="208" t="str">
        <f>_xlfn.IFNA(INDEX('3.5.1'!$1:$104,MATCH(AV$4,'3.5.1'!$A:$A,0),MATCH(Summary!$C26,'3.5.1'!$1:$1,0)),"")</f>
        <v/>
      </c>
      <c r="AW26" s="208"/>
      <c r="AX26" s="208"/>
      <c r="AY26" s="208">
        <f>_xlfn.IFNA(INDEX('3.5.1'!$1:$104,MATCH(AY$4,'3.5.1'!$A:$A,0),MATCH(Summary!$C26,'3.5.1'!$1:$1,0)),"")</f>
        <v>46438.408</v>
      </c>
      <c r="AZ26" s="208"/>
      <c r="BA26" s="208"/>
      <c r="BB26" s="208">
        <f>_xlfn.IFNA(INDEX('3.5.1'!$1:$104,MATCH(BB$4,'3.5.1'!$A:$A,0),MATCH(Summary!$C26,'3.5.1'!$1:$1,0)),"")</f>
        <v>46051.827</v>
      </c>
      <c r="BC26" s="208"/>
      <c r="BD26" s="208"/>
      <c r="BE26" s="208" t="str">
        <f>_xlfn.IFNA(INDEX('3.5.1'!$1:$104,MATCH(BE$4,'3.5.1'!$A:$A,0),MATCH(Summary!$C26,'3.5.1'!$1:$1,0)),"")</f>
        <v/>
      </c>
      <c r="BF26" s="208"/>
      <c r="BG26" s="208"/>
      <c r="BH26" s="208" t="str">
        <f>_xlfn.IFNA(INDEX('3.5.1'!$1:$104,MATCH(BH$4,'3.5.1'!$A:$A,0),MATCH(Summary!$C26,'3.5.1'!$1:$1,0)),"")</f>
        <v/>
      </c>
      <c r="BI26" s="208"/>
      <c r="BJ26" s="208"/>
      <c r="BK26" s="208" t="str">
        <f>_xlfn.IFNA(INDEX('3.5.1'!$1:$104,MATCH(BK$4,'3.5.1'!$A:$A,0),MATCH(Summary!$C26,'3.5.1'!$1:$1,0)),"")</f>
        <v/>
      </c>
    </row>
    <row r="27" s="78" customFormat="1" hidden="1" outlineLevel="2" spans="1:63" ht="16.5" customHeight="1">
      <c r="A27" s="183"/>
      <c r="B27" s="183"/>
      <c r="C27" s="183" t="s">
        <v>70</v>
      </c>
      <c r="D27" s="203"/>
      <c r="E27" s="203"/>
      <c r="F27" s="218" t="s">
        <v>71</v>
      </c>
      <c r="G27" s="219" t="s">
        <v>72</v>
      </c>
      <c r="H27" s="206">
        <f t="shared" si="2"/>
        <v>0.00234060058366274</v>
      </c>
      <c r="I27" s="207" t="str">
        <f t="shared" si="1"/>
        <v/>
      </c>
      <c r="J27" s="208"/>
      <c r="K27" s="208"/>
      <c r="L27" s="208" t="str">
        <f>_xlfn.IFNA(INDEX('3.5.1'!$1:$104,MATCH(L$4,'3.5.1'!$A:$A,0),MATCH(Summary!$C27,'3.5.1'!$1:$1,0)),"")</f>
        <v/>
      </c>
      <c r="M27" s="208"/>
      <c r="N27" s="208"/>
      <c r="O27" s="208">
        <f>_xlfn.IFNA(INDEX('3.5.1'!$1:$104,MATCH(O$4,'3.5.1'!$A:$A,0),MATCH(Summary!$C27,'3.5.1'!$1:$1,0)),"")</f>
        <v>25250.155</v>
      </c>
      <c r="P27" s="208"/>
      <c r="Q27" s="208"/>
      <c r="R27" s="208" t="str">
        <f>_xlfn.IFNA(INDEX('3.5.1'!$1:$104,MATCH(R$4,'3.5.1'!$A:$A,0),MATCH(Summary!$C27,'3.5.1'!$1:$1,0)),"")</f>
        <v/>
      </c>
      <c r="S27" s="208"/>
      <c r="T27" s="208"/>
      <c r="U27" s="208" t="str">
        <f>_xlfn.IFNA(INDEX('3.5.1'!$1:$104,MATCH(U$4,'3.5.1'!$A:$A,0),MATCH(Summary!$C27,'3.5.1'!$1:$1,0)),"")</f>
        <v/>
      </c>
      <c r="V27" s="208"/>
      <c r="W27" s="208"/>
      <c r="X27" s="208">
        <f>_xlfn.IFNA(INDEX('3.5.1'!$1:$104,MATCH(X$4,'3.5.1'!$A:$A,0),MATCH(Summary!$C27,'3.5.1'!$1:$1,0)),"")</f>
        <v>21536.222</v>
      </c>
      <c r="Y27" s="208"/>
      <c r="Z27" s="208"/>
      <c r="AA27" s="208" t="str">
        <f>_xlfn.IFNA(INDEX('3.5.1'!$1:$104,MATCH(AA$4,'3.5.1'!$A:$A,0),MATCH(Summary!$C27,'3.5.1'!$1:$1,0)),"")</f>
        <v/>
      </c>
      <c r="AB27" s="208"/>
      <c r="AC27" s="208"/>
      <c r="AD27" s="208" t="str">
        <f>_xlfn.IFNA(INDEX('3.5.1'!$1:$104,MATCH(AD$4,'3.5.1'!$A:$A,0),MATCH(Summary!$C27,'3.5.1'!$1:$1,0)),"")</f>
        <v/>
      </c>
      <c r="AE27" s="208"/>
      <c r="AF27" s="208"/>
      <c r="AG27" s="208">
        <f>_xlfn.IFNA(INDEX('3.5.1'!$1:$104,MATCH(AG$4,'3.5.1'!$A:$A,0),MATCH(Summary!$C27,'3.5.1'!$1:$1,0)),"")</f>
        <v>21795.043</v>
      </c>
      <c r="AH27" s="208"/>
      <c r="AI27" s="208"/>
      <c r="AJ27" s="208" t="str">
        <f>_xlfn.IFNA(INDEX('3.5.1'!$1:$104,MATCH(AJ$4,'3.5.1'!$A:$A,0),MATCH(Summary!$C27,'3.5.1'!$1:$1,0)),"")</f>
        <v/>
      </c>
      <c r="AK27" s="208"/>
      <c r="AL27" s="208"/>
      <c r="AM27" s="208" t="str">
        <f>_xlfn.IFNA(INDEX('3.5.1'!$1:$104,MATCH(AM$4,'3.5.1'!$A:$A,0),MATCH(Summary!$C27,'3.5.1'!$1:$1,0)),"")</f>
        <v/>
      </c>
      <c r="AN27" s="208"/>
      <c r="AO27" s="208"/>
      <c r="AP27" s="208">
        <f>_xlfn.IFNA(INDEX('3.5.1'!$1:$104,MATCH(AP$4,'3.5.1'!$A:$A,0),MATCH(Summary!$C27,'3.5.1'!$1:$1,0)),"")</f>
        <v>26661.418</v>
      </c>
      <c r="AQ27" s="208"/>
      <c r="AR27" s="208"/>
      <c r="AS27" s="208" t="str">
        <f>_xlfn.IFNA(INDEX('3.5.1'!$1:$104,MATCH(AS$4,'3.5.1'!$A:$A,0),MATCH(Summary!$C27,'3.5.1'!$1:$1,0)),"")</f>
        <v/>
      </c>
      <c r="AT27" s="208"/>
      <c r="AU27" s="208"/>
      <c r="AV27" s="208" t="str">
        <f>_xlfn.IFNA(INDEX('3.5.1'!$1:$104,MATCH(AV$4,'3.5.1'!$A:$A,0),MATCH(Summary!$C27,'3.5.1'!$1:$1,0)),"")</f>
        <v/>
      </c>
      <c r="AW27" s="208"/>
      <c r="AX27" s="208"/>
      <c r="AY27" s="208">
        <f>_xlfn.IFNA(INDEX('3.5.1'!$1:$104,MATCH(AY$4,'3.5.1'!$A:$A,0),MATCH(Summary!$C27,'3.5.1'!$1:$1,0)),"")</f>
        <v>26633.559</v>
      </c>
      <c r="AZ27" s="208"/>
      <c r="BA27" s="208"/>
      <c r="BB27" s="208">
        <f>_xlfn.IFNA(INDEX('3.5.1'!$1:$104,MATCH(BB$4,'3.5.1'!$A:$A,0),MATCH(Summary!$C27,'3.5.1'!$1:$1,0)),"")</f>
        <v>23465.175</v>
      </c>
      <c r="BC27" s="208"/>
      <c r="BD27" s="208"/>
      <c r="BE27" s="208" t="str">
        <f>_xlfn.IFNA(INDEX('3.5.1'!$1:$104,MATCH(BE$4,'3.5.1'!$A:$A,0),MATCH(Summary!$C27,'3.5.1'!$1:$1,0)),"")</f>
        <v/>
      </c>
      <c r="BF27" s="208"/>
      <c r="BG27" s="208"/>
      <c r="BH27" s="208" t="str">
        <f>_xlfn.IFNA(INDEX('3.5.1'!$1:$104,MATCH(BH$4,'3.5.1'!$A:$A,0),MATCH(Summary!$C27,'3.5.1'!$1:$1,0)),"")</f>
        <v/>
      </c>
      <c r="BI27" s="208"/>
      <c r="BJ27" s="208"/>
      <c r="BK27" s="208" t="str">
        <f>_xlfn.IFNA(INDEX('3.5.1'!$1:$104,MATCH(BK$4,'3.5.1'!$A:$A,0),MATCH(Summary!$C27,'3.5.1'!$1:$1,0)),"")</f>
        <v/>
      </c>
    </row>
    <row r="28" s="78" customFormat="1" hidden="1" outlineLevel="2" spans="1:63" ht="16.5" customHeight="1">
      <c r="A28" s="183"/>
      <c r="B28" s="183"/>
      <c r="C28" s="183" t="s">
        <v>73</v>
      </c>
      <c r="D28" s="203"/>
      <c r="E28" s="203"/>
      <c r="F28" s="218" t="s">
        <v>74</v>
      </c>
      <c r="G28" s="219" t="s">
        <v>75</v>
      </c>
      <c r="H28" s="206">
        <f t="shared" si="2"/>
        <v>0.00162990452164282</v>
      </c>
      <c r="I28" s="207" t="str">
        <f t="shared" si="1"/>
        <v/>
      </c>
      <c r="J28" s="208"/>
      <c r="K28" s="208"/>
      <c r="L28" s="208" t="str">
        <f>_xlfn.IFNA(INDEX('3.5.1'!$1:$104,MATCH(L$4,'3.5.1'!$A:$A,0),MATCH(Summary!$C28,'3.5.1'!$1:$1,0)),"")</f>
        <v/>
      </c>
      <c r="M28" s="208"/>
      <c r="N28" s="208"/>
      <c r="O28" s="208">
        <f>_xlfn.IFNA(INDEX('3.5.1'!$1:$104,MATCH(O$4,'3.5.1'!$A:$A,0),MATCH(Summary!$C28,'3.5.1'!$1:$1,0)),"")</f>
        <v>17583.24</v>
      </c>
      <c r="P28" s="208"/>
      <c r="Q28" s="208"/>
      <c r="R28" s="208" t="str">
        <f>_xlfn.IFNA(INDEX('3.5.1'!$1:$104,MATCH(R$4,'3.5.1'!$A:$A,0),MATCH(Summary!$C28,'3.5.1'!$1:$1,0)),"")</f>
        <v/>
      </c>
      <c r="S28" s="208"/>
      <c r="T28" s="208"/>
      <c r="U28" s="208" t="str">
        <f>_xlfn.IFNA(INDEX('3.5.1'!$1:$104,MATCH(U$4,'3.5.1'!$A:$A,0),MATCH(Summary!$C28,'3.5.1'!$1:$1,0)),"")</f>
        <v/>
      </c>
      <c r="V28" s="208"/>
      <c r="W28" s="208"/>
      <c r="X28" s="208">
        <f>_xlfn.IFNA(INDEX('3.5.1'!$1:$104,MATCH(X$4,'3.5.1'!$A:$A,0),MATCH(Summary!$C28,'3.5.1'!$1:$1,0)),"")</f>
        <v>13861.623</v>
      </c>
      <c r="Y28" s="208"/>
      <c r="Z28" s="208"/>
      <c r="AA28" s="208" t="str">
        <f>_xlfn.IFNA(INDEX('3.5.1'!$1:$104,MATCH(AA$4,'3.5.1'!$A:$A,0),MATCH(Summary!$C28,'3.5.1'!$1:$1,0)),"")</f>
        <v/>
      </c>
      <c r="AB28" s="208"/>
      <c r="AC28" s="208"/>
      <c r="AD28" s="208" t="str">
        <f>_xlfn.IFNA(INDEX('3.5.1'!$1:$104,MATCH(AD$4,'3.5.1'!$A:$A,0),MATCH(Summary!$C28,'3.5.1'!$1:$1,0)),"")</f>
        <v/>
      </c>
      <c r="AE28" s="208"/>
      <c r="AF28" s="208"/>
      <c r="AG28" s="208">
        <f>_xlfn.IFNA(INDEX('3.5.1'!$1:$104,MATCH(AG$4,'3.5.1'!$A:$A,0),MATCH(Summary!$C28,'3.5.1'!$1:$1,0)),"")</f>
        <v>10977.891</v>
      </c>
      <c r="AH28" s="208"/>
      <c r="AI28" s="208"/>
      <c r="AJ28" s="208" t="str">
        <f>_xlfn.IFNA(INDEX('3.5.1'!$1:$104,MATCH(AJ$4,'3.5.1'!$A:$A,0),MATCH(Summary!$C28,'3.5.1'!$1:$1,0)),"")</f>
        <v/>
      </c>
      <c r="AK28" s="208"/>
      <c r="AL28" s="208"/>
      <c r="AM28" s="208" t="str">
        <f>_xlfn.IFNA(INDEX('3.5.1'!$1:$104,MATCH(AM$4,'3.5.1'!$A:$A,0),MATCH(Summary!$C28,'3.5.1'!$1:$1,0)),"")</f>
        <v/>
      </c>
      <c r="AN28" s="208"/>
      <c r="AO28" s="208"/>
      <c r="AP28" s="208">
        <f>_xlfn.IFNA(INDEX('3.5.1'!$1:$104,MATCH(AP$4,'3.5.1'!$A:$A,0),MATCH(Summary!$C28,'3.5.1'!$1:$1,0)),"")</f>
        <v>14172.343</v>
      </c>
      <c r="AQ28" s="208"/>
      <c r="AR28" s="208"/>
      <c r="AS28" s="208" t="str">
        <f>_xlfn.IFNA(INDEX('3.5.1'!$1:$104,MATCH(AS$4,'3.5.1'!$A:$A,0),MATCH(Summary!$C28,'3.5.1'!$1:$1,0)),"")</f>
        <v/>
      </c>
      <c r="AT28" s="208"/>
      <c r="AU28" s="208"/>
      <c r="AV28" s="208" t="str">
        <f>_xlfn.IFNA(INDEX('3.5.1'!$1:$104,MATCH(AV$4,'3.5.1'!$A:$A,0),MATCH(Summary!$C28,'3.5.1'!$1:$1,0)),"")</f>
        <v/>
      </c>
      <c r="AW28" s="208"/>
      <c r="AX28" s="208"/>
      <c r="AY28" s="208">
        <f>_xlfn.IFNA(INDEX('3.5.1'!$1:$104,MATCH(AY$4,'3.5.1'!$A:$A,0),MATCH(Summary!$C28,'3.5.1'!$1:$1,0)),"")</f>
        <v>12774.037</v>
      </c>
      <c r="AZ28" s="208"/>
      <c r="BA28" s="208"/>
      <c r="BB28" s="208">
        <f>_xlfn.IFNA(INDEX('3.5.1'!$1:$104,MATCH(BB$4,'3.5.1'!$A:$A,0),MATCH(Summary!$C28,'3.5.1'!$1:$1,0)),"")</f>
        <v>13452.56</v>
      </c>
      <c r="BC28" s="208"/>
      <c r="BD28" s="208"/>
      <c r="BE28" s="208" t="str">
        <f>_xlfn.IFNA(INDEX('3.5.1'!$1:$104,MATCH(BE$4,'3.5.1'!$A:$A,0),MATCH(Summary!$C28,'3.5.1'!$1:$1,0)),"")</f>
        <v/>
      </c>
      <c r="BF28" s="208"/>
      <c r="BG28" s="208"/>
      <c r="BH28" s="208" t="str">
        <f>_xlfn.IFNA(INDEX('3.5.1'!$1:$104,MATCH(BH$4,'3.5.1'!$A:$A,0),MATCH(Summary!$C28,'3.5.1'!$1:$1,0)),"")</f>
        <v/>
      </c>
      <c r="BI28" s="208"/>
      <c r="BJ28" s="208"/>
      <c r="BK28" s="208" t="str">
        <f>_xlfn.IFNA(INDEX('3.5.1'!$1:$104,MATCH(BK$4,'3.5.1'!$A:$A,0),MATCH(Summary!$C28,'3.5.1'!$1:$1,0)),"")</f>
        <v/>
      </c>
    </row>
    <row r="29" s="78" customFormat="1" hidden="1" outlineLevel="2" spans="1:63" ht="16.5" customHeight="1">
      <c r="A29" s="183"/>
      <c r="B29" s="183"/>
      <c r="C29" s="183" t="s">
        <v>76</v>
      </c>
      <c r="D29" s="203"/>
      <c r="E29" s="203"/>
      <c r="F29" s="218" t="s">
        <v>77</v>
      </c>
      <c r="G29" s="219" t="s">
        <v>78</v>
      </c>
      <c r="H29" s="206">
        <f t="shared" si="2"/>
        <v>0.000422662502653604</v>
      </c>
      <c r="I29" s="207" t="str">
        <f t="shared" si="1"/>
        <v/>
      </c>
      <c r="J29" s="208"/>
      <c r="K29" s="208"/>
      <c r="L29" s="208" t="str">
        <f>_xlfn.IFNA(INDEX('3.5.1'!$1:$104,MATCH(L$4,'3.5.1'!$A:$A,0),MATCH(Summary!$C29,'3.5.1'!$1:$1,0)),"")</f>
        <v/>
      </c>
      <c r="M29" s="208"/>
      <c r="N29" s="208"/>
      <c r="O29" s="208">
        <f>_xlfn.IFNA(INDEX('3.5.1'!$1:$104,MATCH(O$4,'3.5.1'!$A:$A,0),MATCH(Summary!$C29,'3.5.1'!$1:$1,0)),"")</f>
        <v>4559.639</v>
      </c>
      <c r="P29" s="208"/>
      <c r="Q29" s="208"/>
      <c r="R29" s="208" t="str">
        <f>_xlfn.IFNA(INDEX('3.5.1'!$1:$104,MATCH(R$4,'3.5.1'!$A:$A,0),MATCH(Summary!$C29,'3.5.1'!$1:$1,0)),"")</f>
        <v/>
      </c>
      <c r="S29" s="208"/>
      <c r="T29" s="208"/>
      <c r="U29" s="208" t="str">
        <f>_xlfn.IFNA(INDEX('3.5.1'!$1:$104,MATCH(U$4,'3.5.1'!$A:$A,0),MATCH(Summary!$C29,'3.5.1'!$1:$1,0)),"")</f>
        <v/>
      </c>
      <c r="V29" s="208"/>
      <c r="W29" s="208"/>
      <c r="X29" s="208">
        <f>_xlfn.IFNA(INDEX('3.5.1'!$1:$104,MATCH(X$4,'3.5.1'!$A:$A,0),MATCH(Summary!$C29,'3.5.1'!$1:$1,0)),"")</f>
        <v>4752.796</v>
      </c>
      <c r="Y29" s="208"/>
      <c r="Z29" s="208"/>
      <c r="AA29" s="208" t="str">
        <f>_xlfn.IFNA(INDEX('3.5.1'!$1:$104,MATCH(AA$4,'3.5.1'!$A:$A,0),MATCH(Summary!$C29,'3.5.1'!$1:$1,0)),"")</f>
        <v/>
      </c>
      <c r="AB29" s="208"/>
      <c r="AC29" s="208"/>
      <c r="AD29" s="208" t="str">
        <f>_xlfn.IFNA(INDEX('3.5.1'!$1:$104,MATCH(AD$4,'3.5.1'!$A:$A,0),MATCH(Summary!$C29,'3.5.1'!$1:$1,0)),"")</f>
        <v/>
      </c>
      <c r="AE29" s="208"/>
      <c r="AF29" s="208"/>
      <c r="AG29" s="208">
        <f>_xlfn.IFNA(INDEX('3.5.1'!$1:$104,MATCH(AG$4,'3.5.1'!$A:$A,0),MATCH(Summary!$C29,'3.5.1'!$1:$1,0)),"")</f>
        <v>4592.36</v>
      </c>
      <c r="AH29" s="208"/>
      <c r="AI29" s="208"/>
      <c r="AJ29" s="208" t="str">
        <f>_xlfn.IFNA(INDEX('3.5.1'!$1:$104,MATCH(AJ$4,'3.5.1'!$A:$A,0),MATCH(Summary!$C29,'3.5.1'!$1:$1,0)),"")</f>
        <v/>
      </c>
      <c r="AK29" s="208"/>
      <c r="AL29" s="208"/>
      <c r="AM29" s="208" t="str">
        <f>_xlfn.IFNA(INDEX('3.5.1'!$1:$104,MATCH(AM$4,'3.5.1'!$A:$A,0),MATCH(Summary!$C29,'3.5.1'!$1:$1,0)),"")</f>
        <v/>
      </c>
      <c r="AN29" s="208"/>
      <c r="AO29" s="208"/>
      <c r="AP29" s="208">
        <f>_xlfn.IFNA(INDEX('3.5.1'!$1:$104,MATCH(AP$4,'3.5.1'!$A:$A,0),MATCH(Summary!$C29,'3.5.1'!$1:$1,0)),"")</f>
        <v>4926.074</v>
      </c>
      <c r="AQ29" s="208"/>
      <c r="AR29" s="208"/>
      <c r="AS29" s="208" t="str">
        <f>_xlfn.IFNA(INDEX('3.5.1'!$1:$104,MATCH(AS$4,'3.5.1'!$A:$A,0),MATCH(Summary!$C29,'3.5.1'!$1:$1,0)),"")</f>
        <v/>
      </c>
      <c r="AT29" s="208"/>
      <c r="AU29" s="208"/>
      <c r="AV29" s="208" t="str">
        <f>_xlfn.IFNA(INDEX('3.5.1'!$1:$104,MATCH(AV$4,'3.5.1'!$A:$A,0),MATCH(Summary!$C29,'3.5.1'!$1:$1,0)),"")</f>
        <v/>
      </c>
      <c r="AW29" s="208"/>
      <c r="AX29" s="208"/>
      <c r="AY29" s="208">
        <f>_xlfn.IFNA(INDEX('3.5.1'!$1:$104,MATCH(AY$4,'3.5.1'!$A:$A,0),MATCH(Summary!$C29,'3.5.1'!$1:$1,0)),"")</f>
        <v>4869.311</v>
      </c>
      <c r="AZ29" s="208"/>
      <c r="BA29" s="208"/>
      <c r="BB29" s="208">
        <f>_xlfn.IFNA(INDEX('3.5.1'!$1:$104,MATCH(BB$4,'3.5.1'!$A:$A,0),MATCH(Summary!$C29,'3.5.1'!$1:$1,0)),"")</f>
        <v>4312.302</v>
      </c>
      <c r="BC29" s="208"/>
      <c r="BD29" s="208"/>
      <c r="BE29" s="208" t="str">
        <f>_xlfn.IFNA(INDEX('3.5.1'!$1:$104,MATCH(BE$4,'3.5.1'!$A:$A,0),MATCH(Summary!$C29,'3.5.1'!$1:$1,0)),"")</f>
        <v/>
      </c>
      <c r="BF29" s="208"/>
      <c r="BG29" s="208"/>
      <c r="BH29" s="208" t="str">
        <f>_xlfn.IFNA(INDEX('3.5.1'!$1:$104,MATCH(BH$4,'3.5.1'!$A:$A,0),MATCH(Summary!$C29,'3.5.1'!$1:$1,0)),"")</f>
        <v/>
      </c>
      <c r="BI29" s="208"/>
      <c r="BJ29" s="208"/>
      <c r="BK29" s="208" t="str">
        <f>_xlfn.IFNA(INDEX('3.5.1'!$1:$104,MATCH(BK$4,'3.5.1'!$A:$A,0),MATCH(Summary!$C29,'3.5.1'!$1:$1,0)),"")</f>
        <v/>
      </c>
    </row>
    <row r="30" s="78" customFormat="1" hidden="1" outlineLevel="2" spans="1:63" ht="16.5" customHeight="1">
      <c r="A30" s="183"/>
      <c r="B30" s="183"/>
      <c r="C30" s="183" t="s">
        <v>79</v>
      </c>
      <c r="D30" s="203"/>
      <c r="E30" s="203"/>
      <c r="F30" s="218" t="s">
        <v>80</v>
      </c>
      <c r="G30" s="219" t="s">
        <v>81</v>
      </c>
      <c r="H30" s="206">
        <f t="shared" si="2"/>
        <v>0.00873955927244692</v>
      </c>
      <c r="I30" s="207" t="str">
        <f t="shared" si="1"/>
        <v/>
      </c>
      <c r="J30" s="208"/>
      <c r="K30" s="208"/>
      <c r="L30" s="208" t="str">
        <f>_xlfn.IFNA(INDEX('3.5.1'!$1:$104,MATCH(L$4,'3.5.1'!$A:$A,0),MATCH(Summary!$C30,'3.5.1'!$1:$1,0)),"")</f>
        <v/>
      </c>
      <c r="M30" s="208"/>
      <c r="N30" s="208"/>
      <c r="O30" s="208">
        <f>_xlfn.IFNA(INDEX('3.5.1'!$1:$104,MATCH(O$4,'3.5.1'!$A:$A,0),MATCH(Summary!$C30,'3.5.1'!$1:$1,0)),"")</f>
        <v>94281.454</v>
      </c>
      <c r="P30" s="208"/>
      <c r="Q30" s="208"/>
      <c r="R30" s="208" t="str">
        <f>_xlfn.IFNA(INDEX('3.5.1'!$1:$104,MATCH(R$4,'3.5.1'!$A:$A,0),MATCH(Summary!$C30,'3.5.1'!$1:$1,0)),"")</f>
        <v/>
      </c>
      <c r="S30" s="208"/>
      <c r="T30" s="208"/>
      <c r="U30" s="208" t="str">
        <f>_xlfn.IFNA(INDEX('3.5.1'!$1:$104,MATCH(U$4,'3.5.1'!$A:$A,0),MATCH(Summary!$C30,'3.5.1'!$1:$1,0)),"")</f>
        <v/>
      </c>
      <c r="V30" s="208"/>
      <c r="W30" s="208"/>
      <c r="X30" s="208">
        <f>_xlfn.IFNA(INDEX('3.5.1'!$1:$104,MATCH(X$4,'3.5.1'!$A:$A,0),MATCH(Summary!$C30,'3.5.1'!$1:$1,0)),"")</f>
        <v>81216.584</v>
      </c>
      <c r="Y30" s="208"/>
      <c r="Z30" s="208"/>
      <c r="AA30" s="208" t="str">
        <f>_xlfn.IFNA(INDEX('3.5.1'!$1:$104,MATCH(AA$4,'3.5.1'!$A:$A,0),MATCH(Summary!$C30,'3.5.1'!$1:$1,0)),"")</f>
        <v/>
      </c>
      <c r="AB30" s="208"/>
      <c r="AC30" s="208"/>
      <c r="AD30" s="208" t="str">
        <f>_xlfn.IFNA(INDEX('3.5.1'!$1:$104,MATCH(AD$4,'3.5.1'!$A:$A,0),MATCH(Summary!$C30,'3.5.1'!$1:$1,0)),"")</f>
        <v/>
      </c>
      <c r="AE30" s="208"/>
      <c r="AF30" s="208"/>
      <c r="AG30" s="208">
        <f>_xlfn.IFNA(INDEX('3.5.1'!$1:$104,MATCH(AG$4,'3.5.1'!$A:$A,0),MATCH(Summary!$C30,'3.5.1'!$1:$1,0)),"")</f>
        <v>75200.913</v>
      </c>
      <c r="AH30" s="208"/>
      <c r="AI30" s="208"/>
      <c r="AJ30" s="208" t="str">
        <f>_xlfn.IFNA(INDEX('3.5.1'!$1:$104,MATCH(AJ$4,'3.5.1'!$A:$A,0),MATCH(Summary!$C30,'3.5.1'!$1:$1,0)),"")</f>
        <v/>
      </c>
      <c r="AK30" s="208"/>
      <c r="AL30" s="208"/>
      <c r="AM30" s="208" t="str">
        <f>_xlfn.IFNA(INDEX('3.5.1'!$1:$104,MATCH(AM$4,'3.5.1'!$A:$A,0),MATCH(Summary!$C30,'3.5.1'!$1:$1,0)),"")</f>
        <v/>
      </c>
      <c r="AN30" s="208"/>
      <c r="AO30" s="208"/>
      <c r="AP30" s="208">
        <f>_xlfn.IFNA(INDEX('3.5.1'!$1:$104,MATCH(AP$4,'3.5.1'!$A:$A,0),MATCH(Summary!$C30,'3.5.1'!$1:$1,0)),"")</f>
        <v>74048.774</v>
      </c>
      <c r="AQ30" s="208"/>
      <c r="AR30" s="208"/>
      <c r="AS30" s="208" t="str">
        <f>_xlfn.IFNA(INDEX('3.5.1'!$1:$104,MATCH(AS$4,'3.5.1'!$A:$A,0),MATCH(Summary!$C30,'3.5.1'!$1:$1,0)),"")</f>
        <v/>
      </c>
      <c r="AT30" s="208"/>
      <c r="AU30" s="208"/>
      <c r="AV30" s="208" t="str">
        <f>_xlfn.IFNA(INDEX('3.5.1'!$1:$104,MATCH(AV$4,'3.5.1'!$A:$A,0),MATCH(Summary!$C30,'3.5.1'!$1:$1,0)),"")</f>
        <v/>
      </c>
      <c r="AW30" s="208"/>
      <c r="AX30" s="208"/>
      <c r="AY30" s="208">
        <f>_xlfn.IFNA(INDEX('3.5.1'!$1:$104,MATCH(AY$4,'3.5.1'!$A:$A,0),MATCH(Summary!$C30,'3.5.1'!$1:$1,0)),"")</f>
        <v>82678.003</v>
      </c>
      <c r="AZ30" s="208"/>
      <c r="BA30" s="208"/>
      <c r="BB30" s="208">
        <f>_xlfn.IFNA(INDEX('3.5.1'!$1:$104,MATCH(BB$4,'3.5.1'!$A:$A,0),MATCH(Summary!$C30,'3.5.1'!$1:$1,0)),"")</f>
        <v>72487.679</v>
      </c>
      <c r="BC30" s="208"/>
      <c r="BD30" s="208"/>
      <c r="BE30" s="208" t="str">
        <f>_xlfn.IFNA(INDEX('3.5.1'!$1:$104,MATCH(BE$4,'3.5.1'!$A:$A,0),MATCH(Summary!$C30,'3.5.1'!$1:$1,0)),"")</f>
        <v/>
      </c>
      <c r="BF30" s="208"/>
      <c r="BG30" s="208"/>
      <c r="BH30" s="208" t="str">
        <f>_xlfn.IFNA(INDEX('3.5.1'!$1:$104,MATCH(BH$4,'3.5.1'!$A:$A,0),MATCH(Summary!$C30,'3.5.1'!$1:$1,0)),"")</f>
        <v/>
      </c>
      <c r="BI30" s="208"/>
      <c r="BJ30" s="208"/>
      <c r="BK30" s="208" t="str">
        <f>_xlfn.IFNA(INDEX('3.5.1'!$1:$104,MATCH(BK$4,'3.5.1'!$A:$A,0),MATCH(Summary!$C30,'3.5.1'!$1:$1,0)),"")</f>
        <v/>
      </c>
    </row>
    <row r="31" s="78" customFormat="1" outlineLevel="1" collapsed="1" spans="1:63" ht="16.5" customHeight="1">
      <c r="A31" s="183"/>
      <c r="B31" s="183"/>
      <c r="C31" s="183" t="s">
        <v>82</v>
      </c>
      <c r="D31" s="220"/>
      <c r="E31" s="220"/>
      <c r="F31" s="220" t="s">
        <v>83</v>
      </c>
      <c r="G31" s="220" t="s">
        <v>84</v>
      </c>
      <c r="H31" s="221">
        <f t="shared" si="2"/>
        <v>0</v>
      </c>
      <c r="I31" s="222" t="str">
        <f t="shared" si="1"/>
        <v/>
      </c>
      <c r="J31" s="223"/>
      <c r="K31" s="223"/>
      <c r="L31" s="223" t="str">
        <f>_xlfn.IFNA(INDEX('3.5.1'!$1:$104,MATCH(L$4,'3.5.1'!$A:$A,0),MATCH(Summary!$C31,'3.5.1'!$1:$1,0)),"")</f>
        <v/>
      </c>
      <c r="M31" s="223"/>
      <c r="N31" s="223"/>
      <c r="O31" s="223">
        <f>_xlfn.IFNA(INDEX('3.5.1'!$1:$104,MATCH(O$4,'3.5.1'!$A:$A,0),MATCH(Summary!$C31,'3.5.1'!$1:$1,0)),"")</f>
        <v>0</v>
      </c>
      <c r="P31" s="223"/>
      <c r="Q31" s="223"/>
      <c r="R31" s="223" t="str">
        <f>_xlfn.IFNA(INDEX('3.5.1'!$1:$104,MATCH(R$4,'3.5.1'!$A:$A,0),MATCH(Summary!$C31,'3.5.1'!$1:$1,0)),"")</f>
        <v/>
      </c>
      <c r="S31" s="223"/>
      <c r="T31" s="223"/>
      <c r="U31" s="223" t="str">
        <f>_xlfn.IFNA(INDEX('3.5.1'!$1:$104,MATCH(U$4,'3.5.1'!$A:$A,0),MATCH(Summary!$C31,'3.5.1'!$1:$1,0)),"")</f>
        <v/>
      </c>
      <c r="V31" s="223"/>
      <c r="W31" s="223"/>
      <c r="X31" s="223">
        <f>_xlfn.IFNA(INDEX('3.5.1'!$1:$104,MATCH(X$4,'3.5.1'!$A:$A,0),MATCH(Summary!$C31,'3.5.1'!$1:$1,0)),"")</f>
        <v>0</v>
      </c>
      <c r="Y31" s="223"/>
      <c r="Z31" s="223"/>
      <c r="AA31" s="223" t="str">
        <f>_xlfn.IFNA(INDEX('3.5.1'!$1:$104,MATCH(AA$4,'3.5.1'!$A:$A,0),MATCH(Summary!$C31,'3.5.1'!$1:$1,0)),"")</f>
        <v/>
      </c>
      <c r="AB31" s="223"/>
      <c r="AC31" s="223"/>
      <c r="AD31" s="223" t="str">
        <f>_xlfn.IFNA(INDEX('3.5.1'!$1:$104,MATCH(AD$4,'3.5.1'!$A:$A,0),MATCH(Summary!$C31,'3.5.1'!$1:$1,0)),"")</f>
        <v/>
      </c>
      <c r="AE31" s="223"/>
      <c r="AF31" s="223"/>
      <c r="AG31" s="223">
        <f>_xlfn.IFNA(INDEX('3.5.1'!$1:$104,MATCH(AG$4,'3.5.1'!$A:$A,0),MATCH(Summary!$C31,'3.5.1'!$1:$1,0)),"")</f>
        <v>0</v>
      </c>
      <c r="AH31" s="223"/>
      <c r="AI31" s="223"/>
      <c r="AJ31" s="223" t="str">
        <f>_xlfn.IFNA(INDEX('3.5.1'!$1:$104,MATCH(AJ$4,'3.5.1'!$A:$A,0),MATCH(Summary!$C31,'3.5.1'!$1:$1,0)),"")</f>
        <v/>
      </c>
      <c r="AK31" s="223"/>
      <c r="AL31" s="223"/>
      <c r="AM31" s="223" t="str">
        <f>_xlfn.IFNA(INDEX('3.5.1'!$1:$104,MATCH(AM$4,'3.5.1'!$A:$A,0),MATCH(Summary!$C31,'3.5.1'!$1:$1,0)),"")</f>
        <v/>
      </c>
      <c r="AN31" s="223"/>
      <c r="AO31" s="223"/>
      <c r="AP31" s="223">
        <f>_xlfn.IFNA(INDEX('3.5.1'!$1:$104,MATCH(AP$4,'3.5.1'!$A:$A,0),MATCH(Summary!$C31,'3.5.1'!$1:$1,0)),"")</f>
        <v>0</v>
      </c>
      <c r="AQ31" s="223"/>
      <c r="AR31" s="223"/>
      <c r="AS31" s="223" t="str">
        <f>_xlfn.IFNA(INDEX('3.5.1'!$1:$104,MATCH(AS$4,'3.5.1'!$A:$A,0),MATCH(Summary!$C31,'3.5.1'!$1:$1,0)),"")</f>
        <v/>
      </c>
      <c r="AT31" s="223"/>
      <c r="AU31" s="223"/>
      <c r="AV31" s="223" t="str">
        <f>_xlfn.IFNA(INDEX('3.5.1'!$1:$104,MATCH(AV$4,'3.5.1'!$A:$A,0),MATCH(Summary!$C31,'3.5.1'!$1:$1,0)),"")</f>
        <v/>
      </c>
      <c r="AW31" s="223"/>
      <c r="AX31" s="223"/>
      <c r="AY31" s="223">
        <f>_xlfn.IFNA(INDEX('3.5.1'!$1:$104,MATCH(AY$4,'3.5.1'!$A:$A,0),MATCH(Summary!$C31,'3.5.1'!$1:$1,0)),"")</f>
        <v>0</v>
      </c>
      <c r="AZ31" s="223"/>
      <c r="BA31" s="223"/>
      <c r="BB31" s="223">
        <f>_xlfn.IFNA(INDEX('3.5.1'!$1:$104,MATCH(BB$4,'3.5.1'!$A:$A,0),MATCH(Summary!$C31,'3.5.1'!$1:$1,0)),"")</f>
        <v>0</v>
      </c>
      <c r="BC31" s="223"/>
      <c r="BD31" s="223"/>
      <c r="BE31" s="223" t="str">
        <f>_xlfn.IFNA(INDEX('3.5.1'!$1:$104,MATCH(BE$4,'3.5.1'!$A:$A,0),MATCH(Summary!$C31,'3.5.1'!$1:$1,0)),"")</f>
        <v/>
      </c>
      <c r="BF31" s="223"/>
      <c r="BG31" s="223"/>
      <c r="BH31" s="223" t="str">
        <f>_xlfn.IFNA(INDEX('3.5.1'!$1:$104,MATCH(BH$4,'3.5.1'!$A:$A,0),MATCH(Summary!$C31,'3.5.1'!$1:$1,0)),"")</f>
        <v/>
      </c>
      <c r="BI31" s="223"/>
      <c r="BJ31" s="223"/>
      <c r="BK31" s="223" t="str">
        <f>_xlfn.IFNA(INDEX('3.5.1'!$1:$104,MATCH(BK$4,'3.5.1'!$A:$A,0),MATCH(Summary!$C31,'3.5.1'!$1:$1,0)),"")</f>
        <v/>
      </c>
    </row>
    <row r="32" s="78" customFormat="1" hidden="1" outlineLevel="2" spans="1:63" ht="16.5" customHeight="1">
      <c r="A32" s="183"/>
      <c r="B32" s="183"/>
      <c r="C32" s="183" t="s">
        <v>85</v>
      </c>
      <c r="D32" s="203"/>
      <c r="E32" s="203"/>
      <c r="F32" s="218" t="s">
        <v>86</v>
      </c>
      <c r="G32" s="219" t="s">
        <v>87</v>
      </c>
      <c r="H32" s="206">
        <f t="shared" si="2"/>
        <v>0</v>
      </c>
      <c r="I32" s="207" t="str">
        <f t="shared" si="1"/>
        <v/>
      </c>
      <c r="J32" s="208"/>
      <c r="K32" s="208"/>
      <c r="L32" s="208" t="str">
        <f>_xlfn.IFNA(INDEX('3.5.1'!$1:$104,MATCH(L$4,'3.5.1'!$A:$A,0),MATCH(Summary!$C32,'3.5.1'!$1:$1,0)),"")</f>
        <v/>
      </c>
      <c r="M32" s="208"/>
      <c r="N32" s="208"/>
      <c r="O32" s="208">
        <f>_xlfn.IFNA(INDEX('3.5.1'!$1:$104,MATCH(O$4,'3.5.1'!$A:$A,0),MATCH(Summary!$C32,'3.5.1'!$1:$1,0)),"")</f>
        <v>0</v>
      </c>
      <c r="P32" s="208"/>
      <c r="Q32" s="208"/>
      <c r="R32" s="208" t="str">
        <f>_xlfn.IFNA(INDEX('3.5.1'!$1:$104,MATCH(R$4,'3.5.1'!$A:$A,0),MATCH(Summary!$C32,'3.5.1'!$1:$1,0)),"")</f>
        <v/>
      </c>
      <c r="S32" s="208"/>
      <c r="T32" s="208"/>
      <c r="U32" s="208" t="str">
        <f>_xlfn.IFNA(INDEX('3.5.1'!$1:$104,MATCH(U$4,'3.5.1'!$A:$A,0),MATCH(Summary!$C32,'3.5.1'!$1:$1,0)),"")</f>
        <v/>
      </c>
      <c r="V32" s="208"/>
      <c r="W32" s="208"/>
      <c r="X32" s="208">
        <f>_xlfn.IFNA(INDEX('3.5.1'!$1:$104,MATCH(X$4,'3.5.1'!$A:$A,0),MATCH(Summary!$C32,'3.5.1'!$1:$1,0)),"")</f>
        <v>0</v>
      </c>
      <c r="Y32" s="208"/>
      <c r="Z32" s="208"/>
      <c r="AA32" s="208" t="str">
        <f>_xlfn.IFNA(INDEX('3.5.1'!$1:$104,MATCH(AA$4,'3.5.1'!$A:$A,0),MATCH(Summary!$C32,'3.5.1'!$1:$1,0)),"")</f>
        <v/>
      </c>
      <c r="AB32" s="208"/>
      <c r="AC32" s="208"/>
      <c r="AD32" s="208" t="str">
        <f>_xlfn.IFNA(INDEX('3.5.1'!$1:$104,MATCH(AD$4,'3.5.1'!$A:$A,0),MATCH(Summary!$C32,'3.5.1'!$1:$1,0)),"")</f>
        <v/>
      </c>
      <c r="AE32" s="208"/>
      <c r="AF32" s="208"/>
      <c r="AG32" s="208">
        <f>_xlfn.IFNA(INDEX('3.5.1'!$1:$104,MATCH(AG$4,'3.5.1'!$A:$A,0),MATCH(Summary!$C32,'3.5.1'!$1:$1,0)),"")</f>
        <v>0</v>
      </c>
      <c r="AH32" s="208"/>
      <c r="AI32" s="208"/>
      <c r="AJ32" s="208" t="str">
        <f>_xlfn.IFNA(INDEX('3.5.1'!$1:$104,MATCH(AJ$4,'3.5.1'!$A:$A,0),MATCH(Summary!$C32,'3.5.1'!$1:$1,0)),"")</f>
        <v/>
      </c>
      <c r="AK32" s="208"/>
      <c r="AL32" s="208"/>
      <c r="AM32" s="208" t="str">
        <f>_xlfn.IFNA(INDEX('3.5.1'!$1:$104,MATCH(AM$4,'3.5.1'!$A:$A,0),MATCH(Summary!$C32,'3.5.1'!$1:$1,0)),"")</f>
        <v/>
      </c>
      <c r="AN32" s="208"/>
      <c r="AO32" s="208"/>
      <c r="AP32" s="208">
        <f>_xlfn.IFNA(INDEX('3.5.1'!$1:$104,MATCH(AP$4,'3.5.1'!$A:$A,0),MATCH(Summary!$C32,'3.5.1'!$1:$1,0)),"")</f>
        <v>0</v>
      </c>
      <c r="AQ32" s="208"/>
      <c r="AR32" s="208"/>
      <c r="AS32" s="208" t="str">
        <f>_xlfn.IFNA(INDEX('3.5.1'!$1:$104,MATCH(AS$4,'3.5.1'!$A:$A,0),MATCH(Summary!$C32,'3.5.1'!$1:$1,0)),"")</f>
        <v/>
      </c>
      <c r="AT32" s="208"/>
      <c r="AU32" s="208"/>
      <c r="AV32" s="208" t="str">
        <f>_xlfn.IFNA(INDEX('3.5.1'!$1:$104,MATCH(AV$4,'3.5.1'!$A:$A,0),MATCH(Summary!$C32,'3.5.1'!$1:$1,0)),"")</f>
        <v/>
      </c>
      <c r="AW32" s="208"/>
      <c r="AX32" s="208"/>
      <c r="AY32" s="208">
        <f>_xlfn.IFNA(INDEX('3.5.1'!$1:$104,MATCH(AY$4,'3.5.1'!$A:$A,0),MATCH(Summary!$C32,'3.5.1'!$1:$1,0)),"")</f>
        <v>0</v>
      </c>
      <c r="AZ32" s="208"/>
      <c r="BA32" s="208"/>
      <c r="BB32" s="208">
        <f>_xlfn.IFNA(INDEX('3.5.1'!$1:$104,MATCH(BB$4,'3.5.1'!$A:$A,0),MATCH(Summary!$C32,'3.5.1'!$1:$1,0)),"")</f>
        <v>0</v>
      </c>
      <c r="BC32" s="208"/>
      <c r="BD32" s="208"/>
      <c r="BE32" s="208" t="str">
        <f>_xlfn.IFNA(INDEX('3.5.1'!$1:$104,MATCH(BE$4,'3.5.1'!$A:$A,0),MATCH(Summary!$C32,'3.5.1'!$1:$1,0)),"")</f>
        <v/>
      </c>
      <c r="BF32" s="208"/>
      <c r="BG32" s="208"/>
      <c r="BH32" s="208" t="str">
        <f>_xlfn.IFNA(INDEX('3.5.1'!$1:$104,MATCH(BH$4,'3.5.1'!$A:$A,0),MATCH(Summary!$C32,'3.5.1'!$1:$1,0)),"")</f>
        <v/>
      </c>
      <c r="BI32" s="208"/>
      <c r="BJ32" s="208"/>
      <c r="BK32" s="208" t="str">
        <f>_xlfn.IFNA(INDEX('3.5.1'!$1:$104,MATCH(BK$4,'3.5.1'!$A:$A,0),MATCH(Summary!$C32,'3.5.1'!$1:$1,0)),"")</f>
        <v/>
      </c>
    </row>
    <row r="33" s="78" customFormat="1" hidden="1" outlineLevel="2" spans="1:63" ht="16.5" customHeight="1">
      <c r="A33" s="183"/>
      <c r="B33" s="183"/>
      <c r="C33" s="183" t="s">
        <v>88</v>
      </c>
      <c r="D33" s="203"/>
      <c r="E33" s="203"/>
      <c r="F33" s="218" t="s">
        <v>89</v>
      </c>
      <c r="G33" s="219" t="s">
        <v>90</v>
      </c>
      <c r="H33" s="206">
        <f t="shared" si="2"/>
        <v>0</v>
      </c>
      <c r="I33" s="207" t="str">
        <f t="shared" si="1"/>
        <v/>
      </c>
      <c r="J33" s="208"/>
      <c r="K33" s="208"/>
      <c r="L33" s="208" t="str">
        <f>_xlfn.IFNA(INDEX('3.5.1'!$1:$104,MATCH(L$4,'3.5.1'!$A:$A,0),MATCH(Summary!$C33,'3.5.1'!$1:$1,0)),"")</f>
        <v/>
      </c>
      <c r="M33" s="208"/>
      <c r="N33" s="208"/>
      <c r="O33" s="208">
        <f>_xlfn.IFNA(INDEX('3.5.1'!$1:$104,MATCH(O$4,'3.5.1'!$A:$A,0),MATCH(Summary!$C33,'3.5.1'!$1:$1,0)),"")</f>
        <v>0</v>
      </c>
      <c r="P33" s="208"/>
      <c r="Q33" s="208"/>
      <c r="R33" s="208" t="str">
        <f>_xlfn.IFNA(INDEX('3.5.1'!$1:$104,MATCH(R$4,'3.5.1'!$A:$A,0),MATCH(Summary!$C33,'3.5.1'!$1:$1,0)),"")</f>
        <v/>
      </c>
      <c r="S33" s="208"/>
      <c r="T33" s="208"/>
      <c r="U33" s="208" t="str">
        <f>_xlfn.IFNA(INDEX('3.5.1'!$1:$104,MATCH(U$4,'3.5.1'!$A:$A,0),MATCH(Summary!$C33,'3.5.1'!$1:$1,0)),"")</f>
        <v/>
      </c>
      <c r="V33" s="208"/>
      <c r="W33" s="208"/>
      <c r="X33" s="208">
        <f>_xlfn.IFNA(INDEX('3.5.1'!$1:$104,MATCH(X$4,'3.5.1'!$A:$A,0),MATCH(Summary!$C33,'3.5.1'!$1:$1,0)),"")</f>
        <v>0</v>
      </c>
      <c r="Y33" s="208"/>
      <c r="Z33" s="208"/>
      <c r="AA33" s="208" t="str">
        <f>_xlfn.IFNA(INDEX('3.5.1'!$1:$104,MATCH(AA$4,'3.5.1'!$A:$A,0),MATCH(Summary!$C33,'3.5.1'!$1:$1,0)),"")</f>
        <v/>
      </c>
      <c r="AB33" s="208"/>
      <c r="AC33" s="208"/>
      <c r="AD33" s="208" t="str">
        <f>_xlfn.IFNA(INDEX('3.5.1'!$1:$104,MATCH(AD$4,'3.5.1'!$A:$A,0),MATCH(Summary!$C33,'3.5.1'!$1:$1,0)),"")</f>
        <v/>
      </c>
      <c r="AE33" s="208"/>
      <c r="AF33" s="208"/>
      <c r="AG33" s="208">
        <f>_xlfn.IFNA(INDEX('3.5.1'!$1:$104,MATCH(AG$4,'3.5.1'!$A:$A,0),MATCH(Summary!$C33,'3.5.1'!$1:$1,0)),"")</f>
        <v>0</v>
      </c>
      <c r="AH33" s="208"/>
      <c r="AI33" s="208"/>
      <c r="AJ33" s="208" t="str">
        <f>_xlfn.IFNA(INDEX('3.5.1'!$1:$104,MATCH(AJ$4,'3.5.1'!$A:$A,0),MATCH(Summary!$C33,'3.5.1'!$1:$1,0)),"")</f>
        <v/>
      </c>
      <c r="AK33" s="208"/>
      <c r="AL33" s="208"/>
      <c r="AM33" s="208" t="str">
        <f>_xlfn.IFNA(INDEX('3.5.1'!$1:$104,MATCH(AM$4,'3.5.1'!$A:$A,0),MATCH(Summary!$C33,'3.5.1'!$1:$1,0)),"")</f>
        <v/>
      </c>
      <c r="AN33" s="208"/>
      <c r="AO33" s="208"/>
      <c r="AP33" s="208">
        <f>_xlfn.IFNA(INDEX('3.5.1'!$1:$104,MATCH(AP$4,'3.5.1'!$A:$A,0),MATCH(Summary!$C33,'3.5.1'!$1:$1,0)),"")</f>
        <v>0</v>
      </c>
      <c r="AQ33" s="208"/>
      <c r="AR33" s="208"/>
      <c r="AS33" s="208" t="str">
        <f>_xlfn.IFNA(INDEX('3.5.1'!$1:$104,MATCH(AS$4,'3.5.1'!$A:$A,0),MATCH(Summary!$C33,'3.5.1'!$1:$1,0)),"")</f>
        <v/>
      </c>
      <c r="AT33" s="208"/>
      <c r="AU33" s="208"/>
      <c r="AV33" s="208" t="str">
        <f>_xlfn.IFNA(INDEX('3.5.1'!$1:$104,MATCH(AV$4,'3.5.1'!$A:$A,0),MATCH(Summary!$C33,'3.5.1'!$1:$1,0)),"")</f>
        <v/>
      </c>
      <c r="AW33" s="208"/>
      <c r="AX33" s="208"/>
      <c r="AY33" s="208">
        <f>_xlfn.IFNA(INDEX('3.5.1'!$1:$104,MATCH(AY$4,'3.5.1'!$A:$A,0),MATCH(Summary!$C33,'3.5.1'!$1:$1,0)),"")</f>
        <v>0</v>
      </c>
      <c r="AZ33" s="208"/>
      <c r="BA33" s="208"/>
      <c r="BB33" s="208">
        <f>_xlfn.IFNA(INDEX('3.5.1'!$1:$104,MATCH(BB$4,'3.5.1'!$A:$A,0),MATCH(Summary!$C33,'3.5.1'!$1:$1,0)),"")</f>
        <v>0</v>
      </c>
      <c r="BC33" s="208"/>
      <c r="BD33" s="208"/>
      <c r="BE33" s="208" t="str">
        <f>_xlfn.IFNA(INDEX('3.5.1'!$1:$104,MATCH(BE$4,'3.5.1'!$A:$A,0),MATCH(Summary!$C33,'3.5.1'!$1:$1,0)),"")</f>
        <v/>
      </c>
      <c r="BF33" s="208"/>
      <c r="BG33" s="208"/>
      <c r="BH33" s="208" t="str">
        <f>_xlfn.IFNA(INDEX('3.5.1'!$1:$104,MATCH(BH$4,'3.5.1'!$A:$A,0),MATCH(Summary!$C33,'3.5.1'!$1:$1,0)),"")</f>
        <v/>
      </c>
      <c r="BI33" s="208"/>
      <c r="BJ33" s="208"/>
      <c r="BK33" s="208" t="str">
        <f>_xlfn.IFNA(INDEX('3.5.1'!$1:$104,MATCH(BK$4,'3.5.1'!$A:$A,0),MATCH(Summary!$C33,'3.5.1'!$1:$1,0)),"")</f>
        <v/>
      </c>
    </row>
    <row r="34" s="78" customFormat="1" hidden="1" outlineLevel="2" spans="1:63" ht="16.5" customHeight="1">
      <c r="A34" s="183"/>
      <c r="B34" s="183"/>
      <c r="C34" s="183" t="s">
        <v>91</v>
      </c>
      <c r="D34" s="203"/>
      <c r="E34" s="203"/>
      <c r="F34" s="218" t="s">
        <v>92</v>
      </c>
      <c r="G34" s="219" t="s">
        <v>93</v>
      </c>
      <c r="H34" s="206">
        <f t="shared" si="2"/>
        <v>0</v>
      </c>
      <c r="I34" s="207" t="str">
        <f t="shared" si="1"/>
        <v/>
      </c>
      <c r="J34" s="208"/>
      <c r="K34" s="208"/>
      <c r="L34" s="208" t="str">
        <f>_xlfn.IFNA(INDEX('3.5.1'!$1:$104,MATCH(L$4,'3.5.1'!$A:$A,0),MATCH(Summary!$C34,'3.5.1'!$1:$1,0)),"")</f>
        <v/>
      </c>
      <c r="M34" s="208"/>
      <c r="N34" s="208"/>
      <c r="O34" s="208">
        <f>_xlfn.IFNA(INDEX('3.5.1'!$1:$104,MATCH(O$4,'3.5.1'!$A:$A,0),MATCH(Summary!$C34,'3.5.1'!$1:$1,0)),"")</f>
        <v>0</v>
      </c>
      <c r="P34" s="208"/>
      <c r="Q34" s="208"/>
      <c r="R34" s="208" t="str">
        <f>_xlfn.IFNA(INDEX('3.5.1'!$1:$104,MATCH(R$4,'3.5.1'!$A:$A,0),MATCH(Summary!$C34,'3.5.1'!$1:$1,0)),"")</f>
        <v/>
      </c>
      <c r="S34" s="208"/>
      <c r="T34" s="208"/>
      <c r="U34" s="208" t="str">
        <f>_xlfn.IFNA(INDEX('3.5.1'!$1:$104,MATCH(U$4,'3.5.1'!$A:$A,0),MATCH(Summary!$C34,'3.5.1'!$1:$1,0)),"")</f>
        <v/>
      </c>
      <c r="V34" s="208"/>
      <c r="W34" s="208"/>
      <c r="X34" s="208">
        <f>_xlfn.IFNA(INDEX('3.5.1'!$1:$104,MATCH(X$4,'3.5.1'!$A:$A,0),MATCH(Summary!$C34,'3.5.1'!$1:$1,0)),"")</f>
        <v>0</v>
      </c>
      <c r="Y34" s="208"/>
      <c r="Z34" s="208"/>
      <c r="AA34" s="208" t="str">
        <f>_xlfn.IFNA(INDEX('3.5.1'!$1:$104,MATCH(AA$4,'3.5.1'!$A:$A,0),MATCH(Summary!$C34,'3.5.1'!$1:$1,0)),"")</f>
        <v/>
      </c>
      <c r="AB34" s="208"/>
      <c r="AC34" s="208"/>
      <c r="AD34" s="208" t="str">
        <f>_xlfn.IFNA(INDEX('3.5.1'!$1:$104,MATCH(AD$4,'3.5.1'!$A:$A,0),MATCH(Summary!$C34,'3.5.1'!$1:$1,0)),"")</f>
        <v/>
      </c>
      <c r="AE34" s="208"/>
      <c r="AF34" s="208"/>
      <c r="AG34" s="208">
        <f>_xlfn.IFNA(INDEX('3.5.1'!$1:$104,MATCH(AG$4,'3.5.1'!$A:$A,0),MATCH(Summary!$C34,'3.5.1'!$1:$1,0)),"")</f>
        <v>0</v>
      </c>
      <c r="AH34" s="208"/>
      <c r="AI34" s="208"/>
      <c r="AJ34" s="208" t="str">
        <f>_xlfn.IFNA(INDEX('3.5.1'!$1:$104,MATCH(AJ$4,'3.5.1'!$A:$A,0),MATCH(Summary!$C34,'3.5.1'!$1:$1,0)),"")</f>
        <v/>
      </c>
      <c r="AK34" s="208"/>
      <c r="AL34" s="208"/>
      <c r="AM34" s="208" t="str">
        <f>_xlfn.IFNA(INDEX('3.5.1'!$1:$104,MATCH(AM$4,'3.5.1'!$A:$A,0),MATCH(Summary!$C34,'3.5.1'!$1:$1,0)),"")</f>
        <v/>
      </c>
      <c r="AN34" s="208"/>
      <c r="AO34" s="208"/>
      <c r="AP34" s="208">
        <f>_xlfn.IFNA(INDEX('3.5.1'!$1:$104,MATCH(AP$4,'3.5.1'!$A:$A,0),MATCH(Summary!$C34,'3.5.1'!$1:$1,0)),"")</f>
        <v>0</v>
      </c>
      <c r="AQ34" s="208"/>
      <c r="AR34" s="208"/>
      <c r="AS34" s="208" t="str">
        <f>_xlfn.IFNA(INDEX('3.5.1'!$1:$104,MATCH(AS$4,'3.5.1'!$A:$A,0),MATCH(Summary!$C34,'3.5.1'!$1:$1,0)),"")</f>
        <v/>
      </c>
      <c r="AT34" s="208"/>
      <c r="AU34" s="208"/>
      <c r="AV34" s="208" t="str">
        <f>_xlfn.IFNA(INDEX('3.5.1'!$1:$104,MATCH(AV$4,'3.5.1'!$A:$A,0),MATCH(Summary!$C34,'3.5.1'!$1:$1,0)),"")</f>
        <v/>
      </c>
      <c r="AW34" s="208"/>
      <c r="AX34" s="208"/>
      <c r="AY34" s="208">
        <f>_xlfn.IFNA(INDEX('3.5.1'!$1:$104,MATCH(AY$4,'3.5.1'!$A:$A,0),MATCH(Summary!$C34,'3.5.1'!$1:$1,0)),"")</f>
        <v>0</v>
      </c>
      <c r="AZ34" s="208"/>
      <c r="BA34" s="208"/>
      <c r="BB34" s="208">
        <f>_xlfn.IFNA(INDEX('3.5.1'!$1:$104,MATCH(BB$4,'3.5.1'!$A:$A,0),MATCH(Summary!$C34,'3.5.1'!$1:$1,0)),"")</f>
        <v>0</v>
      </c>
      <c r="BC34" s="208"/>
      <c r="BD34" s="208"/>
      <c r="BE34" s="208" t="str">
        <f>_xlfn.IFNA(INDEX('3.5.1'!$1:$104,MATCH(BE$4,'3.5.1'!$A:$A,0),MATCH(Summary!$C34,'3.5.1'!$1:$1,0)),"")</f>
        <v/>
      </c>
      <c r="BF34" s="208"/>
      <c r="BG34" s="208"/>
      <c r="BH34" s="208" t="str">
        <f>_xlfn.IFNA(INDEX('3.5.1'!$1:$104,MATCH(BH$4,'3.5.1'!$A:$A,0),MATCH(Summary!$C34,'3.5.1'!$1:$1,0)),"")</f>
        <v/>
      </c>
      <c r="BI34" s="208"/>
      <c r="BJ34" s="208"/>
      <c r="BK34" s="208" t="str">
        <f>_xlfn.IFNA(INDEX('3.5.1'!$1:$104,MATCH(BK$4,'3.5.1'!$A:$A,0),MATCH(Summary!$C34,'3.5.1'!$1:$1,0)),"")</f>
        <v/>
      </c>
    </row>
    <row r="35" s="78" customFormat="1" outlineLevel="1" collapsed="1" spans="1:63" ht="16.5" customHeight="1">
      <c r="A35" s="183"/>
      <c r="B35" s="183"/>
      <c r="C35" s="183" t="s">
        <v>94</v>
      </c>
      <c r="D35" s="220"/>
      <c r="E35" s="220"/>
      <c r="F35" s="220" t="s">
        <v>95</v>
      </c>
      <c r="G35" s="220" t="s">
        <v>96</v>
      </c>
      <c r="H35" s="221">
        <f t="shared" si="2"/>
        <v>0.0307048433580556</v>
      </c>
      <c r="I35" s="222" t="str">
        <f t="shared" si="1"/>
        <v/>
      </c>
      <c r="J35" s="223"/>
      <c r="K35" s="223"/>
      <c r="L35" s="223" t="str">
        <f>_xlfn.IFNA(INDEX('3.5.1'!$1:$104,MATCH(L$4,'3.5.1'!$A:$A,0),MATCH(Summary!$C35,'3.5.1'!$1:$1,0)),"")</f>
        <v/>
      </c>
      <c r="M35" s="223"/>
      <c r="N35" s="223"/>
      <c r="O35" s="223">
        <f>_xlfn.IFNA(INDEX('3.5.1'!$1:$104,MATCH(O$4,'3.5.1'!$A:$A,0),MATCH(Summary!$C35,'3.5.1'!$1:$1,0)),"")</f>
        <v>331240.648</v>
      </c>
      <c r="P35" s="223"/>
      <c r="Q35" s="223"/>
      <c r="R35" s="223" t="str">
        <f>_xlfn.IFNA(INDEX('3.5.1'!$1:$104,MATCH(R$4,'3.5.1'!$A:$A,0),MATCH(Summary!$C35,'3.5.1'!$1:$1,0)),"")</f>
        <v/>
      </c>
      <c r="S35" s="223"/>
      <c r="T35" s="223"/>
      <c r="U35" s="223" t="str">
        <f>_xlfn.IFNA(INDEX('3.5.1'!$1:$104,MATCH(U$4,'3.5.1'!$A:$A,0),MATCH(Summary!$C35,'3.5.1'!$1:$1,0)),"")</f>
        <v/>
      </c>
      <c r="V35" s="223"/>
      <c r="W35" s="223"/>
      <c r="X35" s="223">
        <f>_xlfn.IFNA(INDEX('3.5.1'!$1:$104,MATCH(X$4,'3.5.1'!$A:$A,0),MATCH(Summary!$C35,'3.5.1'!$1:$1,0)),"")</f>
        <v>302874.135</v>
      </c>
      <c r="Y35" s="223"/>
      <c r="Z35" s="223"/>
      <c r="AA35" s="223" t="str">
        <f>_xlfn.IFNA(INDEX('3.5.1'!$1:$104,MATCH(AA$4,'3.5.1'!$A:$A,0),MATCH(Summary!$C35,'3.5.1'!$1:$1,0)),"")</f>
        <v/>
      </c>
      <c r="AB35" s="223"/>
      <c r="AC35" s="223"/>
      <c r="AD35" s="223" t="str">
        <f>_xlfn.IFNA(INDEX('3.5.1'!$1:$104,MATCH(AD$4,'3.5.1'!$A:$A,0),MATCH(Summary!$C35,'3.5.1'!$1:$1,0)),"")</f>
        <v/>
      </c>
      <c r="AE35" s="223"/>
      <c r="AF35" s="223"/>
      <c r="AG35" s="223">
        <f>_xlfn.IFNA(INDEX('3.5.1'!$1:$104,MATCH(AG$4,'3.5.1'!$A:$A,0),MATCH(Summary!$C35,'3.5.1'!$1:$1,0)),"")</f>
        <v>285580.505</v>
      </c>
      <c r="AH35" s="223"/>
      <c r="AI35" s="223"/>
      <c r="AJ35" s="223" t="str">
        <f>_xlfn.IFNA(INDEX('3.5.1'!$1:$104,MATCH(AJ$4,'3.5.1'!$A:$A,0),MATCH(Summary!$C35,'3.5.1'!$1:$1,0)),"")</f>
        <v/>
      </c>
      <c r="AK35" s="223"/>
      <c r="AL35" s="223"/>
      <c r="AM35" s="223" t="str">
        <f>_xlfn.IFNA(INDEX('3.5.1'!$1:$104,MATCH(AM$4,'3.5.1'!$A:$A,0),MATCH(Summary!$C35,'3.5.1'!$1:$1,0)),"")</f>
        <v/>
      </c>
      <c r="AN35" s="223"/>
      <c r="AO35" s="223"/>
      <c r="AP35" s="223">
        <f>_xlfn.IFNA(INDEX('3.5.1'!$1:$104,MATCH(AP$4,'3.5.1'!$A:$A,0),MATCH(Summary!$C35,'3.5.1'!$1:$1,0)),"")</f>
        <v>282034.28</v>
      </c>
      <c r="AQ35" s="223"/>
      <c r="AR35" s="223"/>
      <c r="AS35" s="223" t="str">
        <f>_xlfn.IFNA(INDEX('3.5.1'!$1:$104,MATCH(AS$4,'3.5.1'!$A:$A,0),MATCH(Summary!$C35,'3.5.1'!$1:$1,0)),"")</f>
        <v/>
      </c>
      <c r="AT35" s="223"/>
      <c r="AU35" s="223"/>
      <c r="AV35" s="223" t="str">
        <f>_xlfn.IFNA(INDEX('3.5.1'!$1:$104,MATCH(AV$4,'3.5.1'!$A:$A,0),MATCH(Summary!$C35,'3.5.1'!$1:$1,0)),"")</f>
        <v/>
      </c>
      <c r="AW35" s="223"/>
      <c r="AX35" s="223"/>
      <c r="AY35" s="223">
        <f>_xlfn.IFNA(INDEX('3.5.1'!$1:$104,MATCH(AY$4,'3.5.1'!$A:$A,0),MATCH(Summary!$C35,'3.5.1'!$1:$1,0)),"")</f>
        <v>283977.699</v>
      </c>
      <c r="AZ35" s="223"/>
      <c r="BA35" s="223"/>
      <c r="BB35" s="223">
        <f>_xlfn.IFNA(INDEX('3.5.1'!$1:$104,MATCH(BB$4,'3.5.1'!$A:$A,0),MATCH(Summary!$C35,'3.5.1'!$1:$1,0)),"")</f>
        <v>293659.304</v>
      </c>
      <c r="BC35" s="223"/>
      <c r="BD35" s="223"/>
      <c r="BE35" s="223" t="str">
        <f>_xlfn.IFNA(INDEX('3.5.1'!$1:$104,MATCH(BE$4,'3.5.1'!$A:$A,0),MATCH(Summary!$C35,'3.5.1'!$1:$1,0)),"")</f>
        <v/>
      </c>
      <c r="BF35" s="223"/>
      <c r="BG35" s="223"/>
      <c r="BH35" s="223" t="str">
        <f>_xlfn.IFNA(INDEX('3.5.1'!$1:$104,MATCH(BH$4,'3.5.1'!$A:$A,0),MATCH(Summary!$C35,'3.5.1'!$1:$1,0)),"")</f>
        <v/>
      </c>
      <c r="BI35" s="223"/>
      <c r="BJ35" s="223"/>
      <c r="BK35" s="223" t="str">
        <f>_xlfn.IFNA(INDEX('3.5.1'!$1:$104,MATCH(BK$4,'3.5.1'!$A:$A,0),MATCH(Summary!$C35,'3.5.1'!$1:$1,0)),"")</f>
        <v/>
      </c>
    </row>
    <row r="36" s="78" customFormat="1" hidden="1" outlineLevel="2" spans="1:63" ht="16.5" customHeight="1">
      <c r="A36" s="183"/>
      <c r="B36" s="183"/>
      <c r="C36" s="183" t="s">
        <v>97</v>
      </c>
      <c r="D36" s="203"/>
      <c r="E36" s="203"/>
      <c r="F36" s="218" t="s">
        <v>98</v>
      </c>
      <c r="G36" s="219" t="s">
        <v>99</v>
      </c>
      <c r="H36" s="206">
        <f t="shared" si="2"/>
        <v>0.00973556593462182</v>
      </c>
      <c r="I36" s="207" t="str">
        <f t="shared" si="1"/>
        <v/>
      </c>
      <c r="J36" s="208"/>
      <c r="K36" s="208"/>
      <c r="L36" s="208" t="str">
        <f>_xlfn.IFNA(INDEX('3.5.1'!$1:$104,MATCH(L$4,'3.5.1'!$A:$A,0),MATCH(Summary!$C36,'3.5.1'!$1:$1,0)),"")</f>
        <v/>
      </c>
      <c r="M36" s="208"/>
      <c r="N36" s="208"/>
      <c r="O36" s="208">
        <f>_xlfn.IFNA(INDEX('3.5.1'!$1:$104,MATCH(O$4,'3.5.1'!$A:$A,0),MATCH(Summary!$C36,'3.5.1'!$1:$1,0)),"")</f>
        <v>105026.27</v>
      </c>
      <c r="P36" s="208"/>
      <c r="Q36" s="208"/>
      <c r="R36" s="208" t="str">
        <f>_xlfn.IFNA(INDEX('3.5.1'!$1:$104,MATCH(R$4,'3.5.1'!$A:$A,0),MATCH(Summary!$C36,'3.5.1'!$1:$1,0)),"")</f>
        <v/>
      </c>
      <c r="S36" s="208"/>
      <c r="T36" s="208"/>
      <c r="U36" s="208" t="str">
        <f>_xlfn.IFNA(INDEX('3.5.1'!$1:$104,MATCH(U$4,'3.5.1'!$A:$A,0),MATCH(Summary!$C36,'3.5.1'!$1:$1,0)),"")</f>
        <v/>
      </c>
      <c r="V36" s="208"/>
      <c r="W36" s="208"/>
      <c r="X36" s="208">
        <f>_xlfn.IFNA(INDEX('3.5.1'!$1:$104,MATCH(X$4,'3.5.1'!$A:$A,0),MATCH(Summary!$C36,'3.5.1'!$1:$1,0)),"")</f>
        <v>110085.687</v>
      </c>
      <c r="Y36" s="208"/>
      <c r="Z36" s="208"/>
      <c r="AA36" s="208" t="str">
        <f>_xlfn.IFNA(INDEX('3.5.1'!$1:$104,MATCH(AA$4,'3.5.1'!$A:$A,0),MATCH(Summary!$C36,'3.5.1'!$1:$1,0)),"")</f>
        <v/>
      </c>
      <c r="AB36" s="208"/>
      <c r="AC36" s="208"/>
      <c r="AD36" s="208" t="str">
        <f>_xlfn.IFNA(INDEX('3.5.1'!$1:$104,MATCH(AD$4,'3.5.1'!$A:$A,0),MATCH(Summary!$C36,'3.5.1'!$1:$1,0)),"")</f>
        <v/>
      </c>
      <c r="AE36" s="208"/>
      <c r="AF36" s="208"/>
      <c r="AG36" s="208">
        <f>_xlfn.IFNA(INDEX('3.5.1'!$1:$104,MATCH(AG$4,'3.5.1'!$A:$A,0),MATCH(Summary!$C36,'3.5.1'!$1:$1,0)),"")</f>
        <v>100947.032</v>
      </c>
      <c r="AH36" s="208"/>
      <c r="AI36" s="208"/>
      <c r="AJ36" s="208" t="str">
        <f>_xlfn.IFNA(INDEX('3.5.1'!$1:$104,MATCH(AJ$4,'3.5.1'!$A:$A,0),MATCH(Summary!$C36,'3.5.1'!$1:$1,0)),"")</f>
        <v/>
      </c>
      <c r="AK36" s="208"/>
      <c r="AL36" s="208"/>
      <c r="AM36" s="208" t="str">
        <f>_xlfn.IFNA(INDEX('3.5.1'!$1:$104,MATCH(AM$4,'3.5.1'!$A:$A,0),MATCH(Summary!$C36,'3.5.1'!$1:$1,0)),"")</f>
        <v/>
      </c>
      <c r="AN36" s="208"/>
      <c r="AO36" s="208"/>
      <c r="AP36" s="208">
        <f>_xlfn.IFNA(INDEX('3.5.1'!$1:$104,MATCH(AP$4,'3.5.1'!$A:$A,0),MATCH(Summary!$C36,'3.5.1'!$1:$1,0)),"")</f>
        <v>101675.291</v>
      </c>
      <c r="AQ36" s="208"/>
      <c r="AR36" s="208"/>
      <c r="AS36" s="208" t="str">
        <f>_xlfn.IFNA(INDEX('3.5.1'!$1:$104,MATCH(AS$4,'3.5.1'!$A:$A,0),MATCH(Summary!$C36,'3.5.1'!$1:$1,0)),"")</f>
        <v/>
      </c>
      <c r="AT36" s="208"/>
      <c r="AU36" s="208"/>
      <c r="AV36" s="208" t="str">
        <f>_xlfn.IFNA(INDEX('3.5.1'!$1:$104,MATCH(AV$4,'3.5.1'!$A:$A,0),MATCH(Summary!$C36,'3.5.1'!$1:$1,0)),"")</f>
        <v/>
      </c>
      <c r="AW36" s="208"/>
      <c r="AX36" s="208"/>
      <c r="AY36" s="208">
        <f>_xlfn.IFNA(INDEX('3.5.1'!$1:$104,MATCH(AY$4,'3.5.1'!$A:$A,0),MATCH(Summary!$C36,'3.5.1'!$1:$1,0)),"")</f>
        <v>91728.232</v>
      </c>
      <c r="AZ36" s="208"/>
      <c r="BA36" s="208"/>
      <c r="BB36" s="208">
        <f>_xlfn.IFNA(INDEX('3.5.1'!$1:$104,MATCH(BB$4,'3.5.1'!$A:$A,0),MATCH(Summary!$C36,'3.5.1'!$1:$1,0)),"")</f>
        <v>83948.318</v>
      </c>
      <c r="BC36" s="208"/>
      <c r="BD36" s="208"/>
      <c r="BE36" s="208" t="str">
        <f>_xlfn.IFNA(INDEX('3.5.1'!$1:$104,MATCH(BE$4,'3.5.1'!$A:$A,0),MATCH(Summary!$C36,'3.5.1'!$1:$1,0)),"")</f>
        <v/>
      </c>
      <c r="BF36" s="208"/>
      <c r="BG36" s="208"/>
      <c r="BH36" s="208" t="str">
        <f>_xlfn.IFNA(INDEX('3.5.1'!$1:$104,MATCH(BH$4,'3.5.1'!$A:$A,0),MATCH(Summary!$C36,'3.5.1'!$1:$1,0)),"")</f>
        <v/>
      </c>
      <c r="BI36" s="208"/>
      <c r="BJ36" s="208"/>
      <c r="BK36" s="208" t="str">
        <f>_xlfn.IFNA(INDEX('3.5.1'!$1:$104,MATCH(BK$4,'3.5.1'!$A:$A,0),MATCH(Summary!$C36,'3.5.1'!$1:$1,0)),"")</f>
        <v/>
      </c>
    </row>
    <row r="37" s="78" customFormat="1" hidden="1" outlineLevel="2" spans="1:63" ht="16.5" customHeight="1">
      <c r="A37" s="183"/>
      <c r="B37" s="183"/>
      <c r="C37" s="183" t="s">
        <v>100</v>
      </c>
      <c r="D37" s="203"/>
      <c r="E37" s="203"/>
      <c r="F37" s="218" t="s">
        <v>101</v>
      </c>
      <c r="G37" s="219" t="s">
        <v>102</v>
      </c>
      <c r="H37" s="206">
        <f t="shared" si="2"/>
        <v>0.00421308197755777</v>
      </c>
      <c r="I37" s="207" t="str">
        <f t="shared" si="1"/>
        <v/>
      </c>
      <c r="J37" s="208"/>
      <c r="K37" s="208"/>
      <c r="L37" s="208" t="str">
        <f>_xlfn.IFNA(INDEX('3.5.1'!$1:$104,MATCH(L$4,'3.5.1'!$A:$A,0),MATCH(Summary!$C37,'3.5.1'!$1:$1,0)),"")</f>
        <v/>
      </c>
      <c r="M37" s="208"/>
      <c r="N37" s="208"/>
      <c r="O37" s="208">
        <f>_xlfn.IFNA(INDEX('3.5.1'!$1:$104,MATCH(O$4,'3.5.1'!$A:$A,0),MATCH(Summary!$C37,'3.5.1'!$1:$1,0)),"")</f>
        <v>45450.289</v>
      </c>
      <c r="P37" s="208"/>
      <c r="Q37" s="208"/>
      <c r="R37" s="208" t="str">
        <f>_xlfn.IFNA(INDEX('3.5.1'!$1:$104,MATCH(R$4,'3.5.1'!$A:$A,0),MATCH(Summary!$C37,'3.5.1'!$1:$1,0)),"")</f>
        <v/>
      </c>
      <c r="S37" s="208"/>
      <c r="T37" s="208"/>
      <c r="U37" s="208" t="str">
        <f>_xlfn.IFNA(INDEX('3.5.1'!$1:$104,MATCH(U$4,'3.5.1'!$A:$A,0),MATCH(Summary!$C37,'3.5.1'!$1:$1,0)),"")</f>
        <v/>
      </c>
      <c r="V37" s="208"/>
      <c r="W37" s="208"/>
      <c r="X37" s="208">
        <f>_xlfn.IFNA(INDEX('3.5.1'!$1:$104,MATCH(X$4,'3.5.1'!$A:$A,0),MATCH(Summary!$C37,'3.5.1'!$1:$1,0)),"")</f>
        <v>42722.098</v>
      </c>
      <c r="Y37" s="208"/>
      <c r="Z37" s="208"/>
      <c r="AA37" s="208" t="str">
        <f>_xlfn.IFNA(INDEX('3.5.1'!$1:$104,MATCH(AA$4,'3.5.1'!$A:$A,0),MATCH(Summary!$C37,'3.5.1'!$1:$1,0)),"")</f>
        <v/>
      </c>
      <c r="AB37" s="208"/>
      <c r="AC37" s="208"/>
      <c r="AD37" s="208" t="str">
        <f>_xlfn.IFNA(INDEX('3.5.1'!$1:$104,MATCH(AD$4,'3.5.1'!$A:$A,0),MATCH(Summary!$C37,'3.5.1'!$1:$1,0)),"")</f>
        <v/>
      </c>
      <c r="AE37" s="208"/>
      <c r="AF37" s="208"/>
      <c r="AG37" s="208">
        <f>_xlfn.IFNA(INDEX('3.5.1'!$1:$104,MATCH(AG$4,'3.5.1'!$A:$A,0),MATCH(Summary!$C37,'3.5.1'!$1:$1,0)),"")</f>
        <v>34495.647</v>
      </c>
      <c r="AH37" s="208"/>
      <c r="AI37" s="208"/>
      <c r="AJ37" s="208" t="str">
        <f>_xlfn.IFNA(INDEX('3.5.1'!$1:$104,MATCH(AJ$4,'3.5.1'!$A:$A,0),MATCH(Summary!$C37,'3.5.1'!$1:$1,0)),"")</f>
        <v/>
      </c>
      <c r="AK37" s="208"/>
      <c r="AL37" s="208"/>
      <c r="AM37" s="208" t="str">
        <f>_xlfn.IFNA(INDEX('3.5.1'!$1:$104,MATCH(AM$4,'3.5.1'!$A:$A,0),MATCH(Summary!$C37,'3.5.1'!$1:$1,0)),"")</f>
        <v/>
      </c>
      <c r="AN37" s="208"/>
      <c r="AO37" s="208"/>
      <c r="AP37" s="208">
        <f>_xlfn.IFNA(INDEX('3.5.1'!$1:$104,MATCH(AP$4,'3.5.1'!$A:$A,0),MATCH(Summary!$C37,'3.5.1'!$1:$1,0)),"")</f>
        <v>30209.397</v>
      </c>
      <c r="AQ37" s="208"/>
      <c r="AR37" s="208"/>
      <c r="AS37" s="208" t="str">
        <f>_xlfn.IFNA(INDEX('3.5.1'!$1:$104,MATCH(AS$4,'3.5.1'!$A:$A,0),MATCH(Summary!$C37,'3.5.1'!$1:$1,0)),"")</f>
        <v/>
      </c>
      <c r="AT37" s="208"/>
      <c r="AU37" s="208"/>
      <c r="AV37" s="208" t="str">
        <f>_xlfn.IFNA(INDEX('3.5.1'!$1:$104,MATCH(AV$4,'3.5.1'!$A:$A,0),MATCH(Summary!$C37,'3.5.1'!$1:$1,0)),"")</f>
        <v/>
      </c>
      <c r="AW37" s="208"/>
      <c r="AX37" s="208"/>
      <c r="AY37" s="208">
        <f>_xlfn.IFNA(INDEX('3.5.1'!$1:$104,MATCH(AY$4,'3.5.1'!$A:$A,0),MATCH(Summary!$C37,'3.5.1'!$1:$1,0)),"")</f>
        <v>37844.359</v>
      </c>
      <c r="AZ37" s="208"/>
      <c r="BA37" s="208"/>
      <c r="BB37" s="208">
        <f>_xlfn.IFNA(INDEX('3.5.1'!$1:$104,MATCH(BB$4,'3.5.1'!$A:$A,0),MATCH(Summary!$C37,'3.5.1'!$1:$1,0)),"")</f>
        <v>55624.595</v>
      </c>
      <c r="BC37" s="208"/>
      <c r="BD37" s="208"/>
      <c r="BE37" s="208" t="str">
        <f>_xlfn.IFNA(INDEX('3.5.1'!$1:$104,MATCH(BE$4,'3.5.1'!$A:$A,0),MATCH(Summary!$C37,'3.5.1'!$1:$1,0)),"")</f>
        <v/>
      </c>
      <c r="BF37" s="208"/>
      <c r="BG37" s="208"/>
      <c r="BH37" s="208" t="str">
        <f>_xlfn.IFNA(INDEX('3.5.1'!$1:$104,MATCH(BH$4,'3.5.1'!$A:$A,0),MATCH(Summary!$C37,'3.5.1'!$1:$1,0)),"")</f>
        <v/>
      </c>
      <c r="BI37" s="208"/>
      <c r="BJ37" s="208"/>
      <c r="BK37" s="208" t="str">
        <f>_xlfn.IFNA(INDEX('3.5.1'!$1:$104,MATCH(BK$4,'3.5.1'!$A:$A,0),MATCH(Summary!$C37,'3.5.1'!$1:$1,0)),"")</f>
        <v/>
      </c>
    </row>
    <row r="38" s="78" customFormat="1" hidden="1" outlineLevel="2" spans="1:63" ht="16.5" customHeight="1">
      <c r="A38" s="183"/>
      <c r="B38" s="183"/>
      <c r="C38" s="183" t="s">
        <v>103</v>
      </c>
      <c r="D38" s="203"/>
      <c r="E38" s="203"/>
      <c r="F38" s="218" t="s">
        <v>104</v>
      </c>
      <c r="G38" s="219" t="s">
        <v>105</v>
      </c>
      <c r="H38" s="206">
        <f t="shared" si="2"/>
        <v>0.00475216440431233</v>
      </c>
      <c r="I38" s="207" t="str">
        <f t="shared" si="1"/>
        <v/>
      </c>
      <c r="J38" s="208"/>
      <c r="K38" s="208"/>
      <c r="L38" s="208" t="str">
        <f>_xlfn.IFNA(INDEX('3.5.1'!$1:$104,MATCH(L$4,'3.5.1'!$A:$A,0),MATCH(Summary!$C38,'3.5.1'!$1:$1,0)),"")</f>
        <v/>
      </c>
      <c r="M38" s="208"/>
      <c r="N38" s="208"/>
      <c r="O38" s="208">
        <f>_xlfn.IFNA(INDEX('3.5.1'!$1:$104,MATCH(O$4,'3.5.1'!$A:$A,0),MATCH(Summary!$C38,'3.5.1'!$1:$1,0)),"")</f>
        <v>51265.854</v>
      </c>
      <c r="P38" s="208"/>
      <c r="Q38" s="208"/>
      <c r="R38" s="208" t="str">
        <f>_xlfn.IFNA(INDEX('3.5.1'!$1:$104,MATCH(R$4,'3.5.1'!$A:$A,0),MATCH(Summary!$C38,'3.5.1'!$1:$1,0)),"")</f>
        <v/>
      </c>
      <c r="S38" s="208"/>
      <c r="T38" s="208"/>
      <c r="U38" s="208" t="str">
        <f>_xlfn.IFNA(INDEX('3.5.1'!$1:$104,MATCH(U$4,'3.5.1'!$A:$A,0),MATCH(Summary!$C38,'3.5.1'!$1:$1,0)),"")</f>
        <v/>
      </c>
      <c r="V38" s="208"/>
      <c r="W38" s="208"/>
      <c r="X38" s="208">
        <f>_xlfn.IFNA(INDEX('3.5.1'!$1:$104,MATCH(X$4,'3.5.1'!$A:$A,0),MATCH(Summary!$C38,'3.5.1'!$1:$1,0)),"")</f>
        <v>51264.121</v>
      </c>
      <c r="Y38" s="208"/>
      <c r="Z38" s="208"/>
      <c r="AA38" s="208" t="str">
        <f>_xlfn.IFNA(INDEX('3.5.1'!$1:$104,MATCH(AA$4,'3.5.1'!$A:$A,0),MATCH(Summary!$C38,'3.5.1'!$1:$1,0)),"")</f>
        <v/>
      </c>
      <c r="AB38" s="208"/>
      <c r="AC38" s="208"/>
      <c r="AD38" s="208" t="str">
        <f>_xlfn.IFNA(INDEX('3.5.1'!$1:$104,MATCH(AD$4,'3.5.1'!$A:$A,0),MATCH(Summary!$C38,'3.5.1'!$1:$1,0)),"")</f>
        <v/>
      </c>
      <c r="AE38" s="208"/>
      <c r="AF38" s="208"/>
      <c r="AG38" s="208">
        <f>_xlfn.IFNA(INDEX('3.5.1'!$1:$104,MATCH(AG$4,'3.5.1'!$A:$A,0),MATCH(Summary!$C38,'3.5.1'!$1:$1,0)),"")</f>
        <v>52015.664</v>
      </c>
      <c r="AH38" s="208"/>
      <c r="AI38" s="208"/>
      <c r="AJ38" s="208" t="str">
        <f>_xlfn.IFNA(INDEX('3.5.1'!$1:$104,MATCH(AJ$4,'3.5.1'!$A:$A,0),MATCH(Summary!$C38,'3.5.1'!$1:$1,0)),"")</f>
        <v/>
      </c>
      <c r="AK38" s="208"/>
      <c r="AL38" s="208"/>
      <c r="AM38" s="208" t="str">
        <f>_xlfn.IFNA(INDEX('3.5.1'!$1:$104,MATCH(AM$4,'3.5.1'!$A:$A,0),MATCH(Summary!$C38,'3.5.1'!$1:$1,0)),"")</f>
        <v/>
      </c>
      <c r="AN38" s="208"/>
      <c r="AO38" s="208"/>
      <c r="AP38" s="208">
        <f>_xlfn.IFNA(INDEX('3.5.1'!$1:$104,MATCH(AP$4,'3.5.1'!$A:$A,0),MATCH(Summary!$C38,'3.5.1'!$1:$1,0)),"")</f>
        <v>52786.394</v>
      </c>
      <c r="AQ38" s="208"/>
      <c r="AR38" s="208"/>
      <c r="AS38" s="208" t="str">
        <f>_xlfn.IFNA(INDEX('3.5.1'!$1:$104,MATCH(AS$4,'3.5.1'!$A:$A,0),MATCH(Summary!$C38,'3.5.1'!$1:$1,0)),"")</f>
        <v/>
      </c>
      <c r="AT38" s="208"/>
      <c r="AU38" s="208"/>
      <c r="AV38" s="208" t="str">
        <f>_xlfn.IFNA(INDEX('3.5.1'!$1:$104,MATCH(AV$4,'3.5.1'!$A:$A,0),MATCH(Summary!$C38,'3.5.1'!$1:$1,0)),"")</f>
        <v/>
      </c>
      <c r="AW38" s="208"/>
      <c r="AX38" s="208"/>
      <c r="AY38" s="208">
        <f>_xlfn.IFNA(INDEX('3.5.1'!$1:$104,MATCH(AY$4,'3.5.1'!$A:$A,0),MATCH(Summary!$C38,'3.5.1'!$1:$1,0)),"")</f>
        <v>53651.024</v>
      </c>
      <c r="AZ38" s="208"/>
      <c r="BA38" s="208"/>
      <c r="BB38" s="208">
        <f>_xlfn.IFNA(INDEX('3.5.1'!$1:$104,MATCH(BB$4,'3.5.1'!$A:$A,0),MATCH(Summary!$C38,'3.5.1'!$1:$1,0)),"")</f>
        <v>55063.993</v>
      </c>
      <c r="BC38" s="208"/>
      <c r="BD38" s="208"/>
      <c r="BE38" s="208" t="str">
        <f>_xlfn.IFNA(INDEX('3.5.1'!$1:$104,MATCH(BE$4,'3.5.1'!$A:$A,0),MATCH(Summary!$C38,'3.5.1'!$1:$1,0)),"")</f>
        <v/>
      </c>
      <c r="BF38" s="208"/>
      <c r="BG38" s="208"/>
      <c r="BH38" s="208" t="str">
        <f>_xlfn.IFNA(INDEX('3.5.1'!$1:$104,MATCH(BH$4,'3.5.1'!$A:$A,0),MATCH(Summary!$C38,'3.5.1'!$1:$1,0)),"")</f>
        <v/>
      </c>
      <c r="BI38" s="208"/>
      <c r="BJ38" s="208"/>
      <c r="BK38" s="208" t="str">
        <f>_xlfn.IFNA(INDEX('3.5.1'!$1:$104,MATCH(BK$4,'3.5.1'!$A:$A,0),MATCH(Summary!$C38,'3.5.1'!$1:$1,0)),"")</f>
        <v/>
      </c>
    </row>
    <row r="39" s="78" customFormat="1" hidden="1" outlineLevel="2" spans="1:63" ht="16.5" customHeight="1">
      <c r="A39" s="183"/>
      <c r="B39" s="183"/>
      <c r="C39" s="183" t="s">
        <v>106</v>
      </c>
      <c r="D39" s="203"/>
      <c r="E39" s="203"/>
      <c r="F39" s="203" t="s">
        <v>107</v>
      </c>
      <c r="G39" s="205" t="s">
        <v>108</v>
      </c>
      <c r="H39" s="206">
        <f t="shared" si="2"/>
        <v>0.00401884456036907</v>
      </c>
      <c r="I39" s="207" t="str">
        <f t="shared" si="1"/>
        <v/>
      </c>
      <c r="J39" s="208"/>
      <c r="K39" s="208"/>
      <c r="L39" s="208" t="str">
        <f>_xlfn.IFNA(INDEX('3.5.1'!$1:$104,MATCH(L$4,'3.5.1'!$A:$A,0),MATCH(Summary!$C39,'3.5.1'!$1:$1,0)),"")</f>
        <v/>
      </c>
      <c r="M39" s="208"/>
      <c r="N39" s="208"/>
      <c r="O39" s="208">
        <f>_xlfn.IFNA(INDEX('3.5.1'!$1:$104,MATCH(O$4,'3.5.1'!$A:$A,0),MATCH(Summary!$C39,'3.5.1'!$1:$1,0)),"")</f>
        <v>43354.876</v>
      </c>
      <c r="P39" s="208"/>
      <c r="Q39" s="208"/>
      <c r="R39" s="208" t="str">
        <f>_xlfn.IFNA(INDEX('3.5.1'!$1:$104,MATCH(R$4,'3.5.1'!$A:$A,0),MATCH(Summary!$C39,'3.5.1'!$1:$1,0)),"")</f>
        <v/>
      </c>
      <c r="S39" s="208"/>
      <c r="T39" s="208"/>
      <c r="U39" s="208" t="str">
        <f>_xlfn.IFNA(INDEX('3.5.1'!$1:$104,MATCH(U$4,'3.5.1'!$A:$A,0),MATCH(Summary!$C39,'3.5.1'!$1:$1,0)),"")</f>
        <v/>
      </c>
      <c r="V39" s="208"/>
      <c r="W39" s="208"/>
      <c r="X39" s="208">
        <f>_xlfn.IFNA(INDEX('3.5.1'!$1:$104,MATCH(X$4,'3.5.1'!$A:$A,0),MATCH(Summary!$C39,'3.5.1'!$1:$1,0)),"")</f>
        <v>43907.262</v>
      </c>
      <c r="Y39" s="208"/>
      <c r="Z39" s="208"/>
      <c r="AA39" s="208" t="str">
        <f>_xlfn.IFNA(INDEX('3.5.1'!$1:$104,MATCH(AA$4,'3.5.1'!$A:$A,0),MATCH(Summary!$C39,'3.5.1'!$1:$1,0)),"")</f>
        <v/>
      </c>
      <c r="AB39" s="208"/>
      <c r="AC39" s="208"/>
      <c r="AD39" s="208" t="str">
        <f>_xlfn.IFNA(INDEX('3.5.1'!$1:$104,MATCH(AD$4,'3.5.1'!$A:$A,0),MATCH(Summary!$C39,'3.5.1'!$1:$1,0)),"")</f>
        <v/>
      </c>
      <c r="AE39" s="208"/>
      <c r="AF39" s="208"/>
      <c r="AG39" s="208">
        <f>_xlfn.IFNA(INDEX('3.5.1'!$1:$104,MATCH(AG$4,'3.5.1'!$A:$A,0),MATCH(Summary!$C39,'3.5.1'!$1:$1,0)),"")</f>
        <v>44497.902</v>
      </c>
      <c r="AH39" s="208"/>
      <c r="AI39" s="208"/>
      <c r="AJ39" s="208" t="str">
        <f>_xlfn.IFNA(INDEX('3.5.1'!$1:$104,MATCH(AJ$4,'3.5.1'!$A:$A,0),MATCH(Summary!$C39,'3.5.1'!$1:$1,0)),"")</f>
        <v/>
      </c>
      <c r="AK39" s="208"/>
      <c r="AL39" s="208"/>
      <c r="AM39" s="208" t="str">
        <f>_xlfn.IFNA(INDEX('3.5.1'!$1:$104,MATCH(AM$4,'3.5.1'!$A:$A,0),MATCH(Summary!$C39,'3.5.1'!$1:$1,0)),"")</f>
        <v/>
      </c>
      <c r="AN39" s="208"/>
      <c r="AO39" s="208"/>
      <c r="AP39" s="208">
        <f>_xlfn.IFNA(INDEX('3.5.1'!$1:$104,MATCH(AP$4,'3.5.1'!$A:$A,0),MATCH(Summary!$C39,'3.5.1'!$1:$1,0)),"")</f>
        <v>45031.026</v>
      </c>
      <c r="AQ39" s="208"/>
      <c r="AR39" s="208"/>
      <c r="AS39" s="208" t="str">
        <f>_xlfn.IFNA(INDEX('3.5.1'!$1:$104,MATCH(AS$4,'3.5.1'!$A:$A,0),MATCH(Summary!$C39,'3.5.1'!$1:$1,0)),"")</f>
        <v/>
      </c>
      <c r="AT39" s="208"/>
      <c r="AU39" s="208"/>
      <c r="AV39" s="208" t="str">
        <f>_xlfn.IFNA(INDEX('3.5.1'!$1:$104,MATCH(AV$4,'3.5.1'!$A:$A,0),MATCH(Summary!$C39,'3.5.1'!$1:$1,0)),"")</f>
        <v/>
      </c>
      <c r="AW39" s="208"/>
      <c r="AX39" s="208"/>
      <c r="AY39" s="208">
        <f>_xlfn.IFNA(INDEX('3.5.1'!$1:$104,MATCH(AY$4,'3.5.1'!$A:$A,0),MATCH(Summary!$C39,'3.5.1'!$1:$1,0)),"")</f>
        <v>45553.542</v>
      </c>
      <c r="AZ39" s="208"/>
      <c r="BA39" s="208"/>
      <c r="BB39" s="208">
        <f>_xlfn.IFNA(INDEX('3.5.1'!$1:$104,MATCH(BB$4,'3.5.1'!$A:$A,0),MATCH(Summary!$C39,'3.5.1'!$1:$1,0)),"")</f>
        <v>46295.807</v>
      </c>
      <c r="BC39" s="208"/>
      <c r="BD39" s="208"/>
      <c r="BE39" s="208" t="str">
        <f>_xlfn.IFNA(INDEX('3.5.1'!$1:$104,MATCH(BE$4,'3.5.1'!$A:$A,0),MATCH(Summary!$C39,'3.5.1'!$1:$1,0)),"")</f>
        <v/>
      </c>
      <c r="BF39" s="208"/>
      <c r="BG39" s="208"/>
      <c r="BH39" s="208" t="str">
        <f>_xlfn.IFNA(INDEX('3.5.1'!$1:$104,MATCH(BH$4,'3.5.1'!$A:$A,0),MATCH(Summary!$C39,'3.5.1'!$1:$1,0)),"")</f>
        <v/>
      </c>
      <c r="BI39" s="208"/>
      <c r="BJ39" s="208"/>
      <c r="BK39" s="208" t="str">
        <f>_xlfn.IFNA(INDEX('3.5.1'!$1:$104,MATCH(BK$4,'3.5.1'!$A:$A,0),MATCH(Summary!$C39,'3.5.1'!$1:$1,0)),"")</f>
        <v/>
      </c>
    </row>
    <row r="40" s="78" customFormat="1" hidden="1" outlineLevel="2" spans="1:63" ht="16.5" customHeight="1">
      <c r="A40" s="183"/>
      <c r="B40" s="183"/>
      <c r="C40" s="183" t="s">
        <v>109</v>
      </c>
      <c r="D40" s="203"/>
      <c r="E40" s="203"/>
      <c r="F40" s="203" t="s">
        <v>110</v>
      </c>
      <c r="G40" s="205" t="s">
        <v>111</v>
      </c>
      <c r="H40" s="206">
        <f t="shared" si="2"/>
        <v>0.00073331984394326</v>
      </c>
      <c r="I40" s="207" t="str">
        <f t="shared" si="1"/>
        <v/>
      </c>
      <c r="J40" s="208"/>
      <c r="K40" s="208"/>
      <c r="L40" s="208" t="str">
        <f>_xlfn.IFNA(INDEX('3.5.1'!$1:$104,MATCH(L$4,'3.5.1'!$A:$A,0),MATCH(Summary!$C40,'3.5.1'!$1:$1,0)),"")</f>
        <v/>
      </c>
      <c r="M40" s="208"/>
      <c r="N40" s="208"/>
      <c r="O40" s="208">
        <f>_xlfn.IFNA(INDEX('3.5.1'!$1:$104,MATCH(O$4,'3.5.1'!$A:$A,0),MATCH(Summary!$C40,'3.5.1'!$1:$1,0)),"")</f>
        <v>7910.978</v>
      </c>
      <c r="P40" s="208"/>
      <c r="Q40" s="208"/>
      <c r="R40" s="208" t="str">
        <f>_xlfn.IFNA(INDEX('3.5.1'!$1:$104,MATCH(R$4,'3.5.1'!$A:$A,0),MATCH(Summary!$C40,'3.5.1'!$1:$1,0)),"")</f>
        <v/>
      </c>
      <c r="S40" s="208"/>
      <c r="T40" s="208"/>
      <c r="U40" s="208" t="str">
        <f>_xlfn.IFNA(INDEX('3.5.1'!$1:$104,MATCH(U$4,'3.5.1'!$A:$A,0),MATCH(Summary!$C40,'3.5.1'!$1:$1,0)),"")</f>
        <v/>
      </c>
      <c r="V40" s="208"/>
      <c r="W40" s="208"/>
      <c r="X40" s="208">
        <f>_xlfn.IFNA(INDEX('3.5.1'!$1:$104,MATCH(X$4,'3.5.1'!$A:$A,0),MATCH(Summary!$C40,'3.5.1'!$1:$1,0)),"")</f>
        <v>7356.859</v>
      </c>
      <c r="Y40" s="208"/>
      <c r="Z40" s="208"/>
      <c r="AA40" s="208" t="str">
        <f>_xlfn.IFNA(INDEX('3.5.1'!$1:$104,MATCH(AA$4,'3.5.1'!$A:$A,0),MATCH(Summary!$C40,'3.5.1'!$1:$1,0)),"")</f>
        <v/>
      </c>
      <c r="AB40" s="208"/>
      <c r="AC40" s="208"/>
      <c r="AD40" s="208" t="str">
        <f>_xlfn.IFNA(INDEX('3.5.1'!$1:$104,MATCH(AD$4,'3.5.1'!$A:$A,0),MATCH(Summary!$C40,'3.5.1'!$1:$1,0)),"")</f>
        <v/>
      </c>
      <c r="AE40" s="208"/>
      <c r="AF40" s="208"/>
      <c r="AG40" s="208">
        <f>_xlfn.IFNA(INDEX('3.5.1'!$1:$104,MATCH(AG$4,'3.5.1'!$A:$A,0),MATCH(Summary!$C40,'3.5.1'!$1:$1,0)),"")</f>
        <v>7517.762</v>
      </c>
      <c r="AH40" s="208"/>
      <c r="AI40" s="208"/>
      <c r="AJ40" s="208" t="str">
        <f>_xlfn.IFNA(INDEX('3.5.1'!$1:$104,MATCH(AJ$4,'3.5.1'!$A:$A,0),MATCH(Summary!$C40,'3.5.1'!$1:$1,0)),"")</f>
        <v/>
      </c>
      <c r="AK40" s="208"/>
      <c r="AL40" s="208"/>
      <c r="AM40" s="208" t="str">
        <f>_xlfn.IFNA(INDEX('3.5.1'!$1:$104,MATCH(AM$4,'3.5.1'!$A:$A,0),MATCH(Summary!$C40,'3.5.1'!$1:$1,0)),"")</f>
        <v/>
      </c>
      <c r="AN40" s="208"/>
      <c r="AO40" s="208"/>
      <c r="AP40" s="208">
        <f>_xlfn.IFNA(INDEX('3.5.1'!$1:$104,MATCH(AP$4,'3.5.1'!$A:$A,0),MATCH(Summary!$C40,'3.5.1'!$1:$1,0)),"")</f>
        <v>7755.368</v>
      </c>
      <c r="AQ40" s="208"/>
      <c r="AR40" s="208"/>
      <c r="AS40" s="208" t="str">
        <f>_xlfn.IFNA(INDEX('3.5.1'!$1:$104,MATCH(AS$4,'3.5.1'!$A:$A,0),MATCH(Summary!$C40,'3.5.1'!$1:$1,0)),"")</f>
        <v/>
      </c>
      <c r="AT40" s="208"/>
      <c r="AU40" s="208"/>
      <c r="AV40" s="208" t="str">
        <f>_xlfn.IFNA(INDEX('3.5.1'!$1:$104,MATCH(AV$4,'3.5.1'!$A:$A,0),MATCH(Summary!$C40,'3.5.1'!$1:$1,0)),"")</f>
        <v/>
      </c>
      <c r="AW40" s="208"/>
      <c r="AX40" s="208"/>
      <c r="AY40" s="208">
        <f>_xlfn.IFNA(INDEX('3.5.1'!$1:$104,MATCH(AY$4,'3.5.1'!$A:$A,0),MATCH(Summary!$C40,'3.5.1'!$1:$1,0)),"")</f>
        <v>8097.482</v>
      </c>
      <c r="AZ40" s="208"/>
      <c r="BA40" s="208"/>
      <c r="BB40" s="208">
        <f>_xlfn.IFNA(INDEX('3.5.1'!$1:$104,MATCH(BB$4,'3.5.1'!$A:$A,0),MATCH(Summary!$C40,'3.5.1'!$1:$1,0)),"")</f>
        <v>8768.186</v>
      </c>
      <c r="BC40" s="208"/>
      <c r="BD40" s="208"/>
      <c r="BE40" s="208" t="str">
        <f>_xlfn.IFNA(INDEX('3.5.1'!$1:$104,MATCH(BE$4,'3.5.1'!$A:$A,0),MATCH(Summary!$C40,'3.5.1'!$1:$1,0)),"")</f>
        <v/>
      </c>
      <c r="BF40" s="208"/>
      <c r="BG40" s="208"/>
      <c r="BH40" s="208" t="str">
        <f>_xlfn.IFNA(INDEX('3.5.1'!$1:$104,MATCH(BH$4,'3.5.1'!$A:$A,0),MATCH(Summary!$C40,'3.5.1'!$1:$1,0)),"")</f>
        <v/>
      </c>
      <c r="BI40" s="208"/>
      <c r="BJ40" s="208"/>
      <c r="BK40" s="208" t="str">
        <f>_xlfn.IFNA(INDEX('3.5.1'!$1:$104,MATCH(BK$4,'3.5.1'!$A:$A,0),MATCH(Summary!$C40,'3.5.1'!$1:$1,0)),"")</f>
        <v/>
      </c>
    </row>
    <row r="41" s="78" customFormat="1" hidden="1" outlineLevel="2" spans="1:63" ht="16.5" customHeight="1">
      <c r="A41" s="183"/>
      <c r="B41" s="183"/>
      <c r="C41" s="183" t="s">
        <v>112</v>
      </c>
      <c r="D41" s="203"/>
      <c r="E41" s="203"/>
      <c r="F41" s="218" t="s">
        <v>113</v>
      </c>
      <c r="G41" s="219" t="s">
        <v>114</v>
      </c>
      <c r="H41" s="206">
        <f t="shared" si="2"/>
        <v>0.0120040310415637</v>
      </c>
      <c r="I41" s="207" t="str">
        <f t="shared" si="1"/>
        <v/>
      </c>
      <c r="J41" s="208"/>
      <c r="K41" s="208"/>
      <c r="L41" s="208" t="str">
        <f>_xlfn.IFNA(INDEX('3.5.1'!$1:$104,MATCH(L$4,'3.5.1'!$A:$A,0),MATCH(Summary!$C41,'3.5.1'!$1:$1,0)),"")</f>
        <v/>
      </c>
      <c r="M41" s="208"/>
      <c r="N41" s="208"/>
      <c r="O41" s="208">
        <f>_xlfn.IFNA(INDEX('3.5.1'!$1:$104,MATCH(O$4,'3.5.1'!$A:$A,0),MATCH(Summary!$C41,'3.5.1'!$1:$1,0)),"")</f>
        <v>129498.235</v>
      </c>
      <c r="P41" s="208"/>
      <c r="Q41" s="208"/>
      <c r="R41" s="208" t="str">
        <f>_xlfn.IFNA(INDEX('3.5.1'!$1:$104,MATCH(R$4,'3.5.1'!$A:$A,0),MATCH(Summary!$C41,'3.5.1'!$1:$1,0)),"")</f>
        <v/>
      </c>
      <c r="S41" s="208"/>
      <c r="T41" s="208"/>
      <c r="U41" s="208" t="str">
        <f>_xlfn.IFNA(INDEX('3.5.1'!$1:$104,MATCH(U$4,'3.5.1'!$A:$A,0),MATCH(Summary!$C41,'3.5.1'!$1:$1,0)),"")</f>
        <v/>
      </c>
      <c r="V41" s="208"/>
      <c r="W41" s="208"/>
      <c r="X41" s="208">
        <f>_xlfn.IFNA(INDEX('3.5.1'!$1:$104,MATCH(X$4,'3.5.1'!$A:$A,0),MATCH(Summary!$C41,'3.5.1'!$1:$1,0)),"")</f>
        <v>98802.229</v>
      </c>
      <c r="Y41" s="208"/>
      <c r="Z41" s="208"/>
      <c r="AA41" s="208" t="str">
        <f>_xlfn.IFNA(INDEX('3.5.1'!$1:$104,MATCH(AA$4,'3.5.1'!$A:$A,0),MATCH(Summary!$C41,'3.5.1'!$1:$1,0)),"")</f>
        <v/>
      </c>
      <c r="AB41" s="208"/>
      <c r="AC41" s="208"/>
      <c r="AD41" s="208" t="str">
        <f>_xlfn.IFNA(INDEX('3.5.1'!$1:$104,MATCH(AD$4,'3.5.1'!$A:$A,0),MATCH(Summary!$C41,'3.5.1'!$1:$1,0)),"")</f>
        <v/>
      </c>
      <c r="AE41" s="208"/>
      <c r="AF41" s="208"/>
      <c r="AG41" s="208">
        <f>_xlfn.IFNA(INDEX('3.5.1'!$1:$104,MATCH(AG$4,'3.5.1'!$A:$A,0),MATCH(Summary!$C41,'3.5.1'!$1:$1,0)),"")</f>
        <v>98122.162</v>
      </c>
      <c r="AH41" s="208"/>
      <c r="AI41" s="208"/>
      <c r="AJ41" s="208" t="str">
        <f>_xlfn.IFNA(INDEX('3.5.1'!$1:$104,MATCH(AJ$4,'3.5.1'!$A:$A,0),MATCH(Summary!$C41,'3.5.1'!$1:$1,0)),"")</f>
        <v/>
      </c>
      <c r="AK41" s="208"/>
      <c r="AL41" s="208"/>
      <c r="AM41" s="208" t="str">
        <f>_xlfn.IFNA(INDEX('3.5.1'!$1:$104,MATCH(AM$4,'3.5.1'!$A:$A,0),MATCH(Summary!$C41,'3.5.1'!$1:$1,0)),"")</f>
        <v/>
      </c>
      <c r="AN41" s="208"/>
      <c r="AO41" s="208"/>
      <c r="AP41" s="208">
        <f>_xlfn.IFNA(INDEX('3.5.1'!$1:$104,MATCH(AP$4,'3.5.1'!$A:$A,0),MATCH(Summary!$C41,'3.5.1'!$1:$1,0)),"")</f>
        <v>97363.198</v>
      </c>
      <c r="AQ41" s="208"/>
      <c r="AR41" s="208"/>
      <c r="AS41" s="208" t="str">
        <f>_xlfn.IFNA(INDEX('3.5.1'!$1:$104,MATCH(AS$4,'3.5.1'!$A:$A,0),MATCH(Summary!$C41,'3.5.1'!$1:$1,0)),"")</f>
        <v/>
      </c>
      <c r="AT41" s="208"/>
      <c r="AU41" s="208"/>
      <c r="AV41" s="208" t="str">
        <f>_xlfn.IFNA(INDEX('3.5.1'!$1:$104,MATCH(AV$4,'3.5.1'!$A:$A,0),MATCH(Summary!$C41,'3.5.1'!$1:$1,0)),"")</f>
        <v/>
      </c>
      <c r="AW41" s="208"/>
      <c r="AX41" s="208"/>
      <c r="AY41" s="208">
        <f>_xlfn.IFNA(INDEX('3.5.1'!$1:$104,MATCH(AY$4,'3.5.1'!$A:$A,0),MATCH(Summary!$C41,'3.5.1'!$1:$1,0)),"")</f>
        <v>100754.084</v>
      </c>
      <c r="AZ41" s="208"/>
      <c r="BA41" s="208"/>
      <c r="BB41" s="208">
        <f>_xlfn.IFNA(INDEX('3.5.1'!$1:$104,MATCH(BB$4,'3.5.1'!$A:$A,0),MATCH(Summary!$C41,'3.5.1'!$1:$1,0)),"")</f>
        <v>99022.398</v>
      </c>
      <c r="BC41" s="208"/>
      <c r="BD41" s="208"/>
      <c r="BE41" s="208" t="str">
        <f>_xlfn.IFNA(INDEX('3.5.1'!$1:$104,MATCH(BE$4,'3.5.1'!$A:$A,0),MATCH(Summary!$C41,'3.5.1'!$1:$1,0)),"")</f>
        <v/>
      </c>
      <c r="BF41" s="208"/>
      <c r="BG41" s="208"/>
      <c r="BH41" s="208" t="str">
        <f>_xlfn.IFNA(INDEX('3.5.1'!$1:$104,MATCH(BH$4,'3.5.1'!$A:$A,0),MATCH(Summary!$C41,'3.5.1'!$1:$1,0)),"")</f>
        <v/>
      </c>
      <c r="BI41" s="208"/>
      <c r="BJ41" s="208"/>
      <c r="BK41" s="208" t="str">
        <f>_xlfn.IFNA(INDEX('3.5.1'!$1:$104,MATCH(BK$4,'3.5.1'!$A:$A,0),MATCH(Summary!$C41,'3.5.1'!$1:$1,0)),"")</f>
        <v/>
      </c>
    </row>
    <row r="42" s="78" customFormat="1" outlineLevel="1" collapsed="1" spans="1:63" ht="16.5" customHeight="1">
      <c r="A42" s="183"/>
      <c r="B42" s="183"/>
      <c r="C42" s="183" t="s">
        <v>115</v>
      </c>
      <c r="D42" s="220"/>
      <c r="E42" s="220"/>
      <c r="F42" s="220" t="s">
        <v>116</v>
      </c>
      <c r="G42" s="220" t="s">
        <v>117</v>
      </c>
      <c r="H42" s="221">
        <f t="shared" si="2"/>
        <v>0</v>
      </c>
      <c r="I42" s="222" t="str">
        <f t="shared" si="1"/>
        <v/>
      </c>
      <c r="J42" s="223"/>
      <c r="K42" s="223"/>
      <c r="L42" s="223" t="str">
        <f>_xlfn.IFNA(INDEX('3.5.1'!$1:$104,MATCH(L$4,'3.5.1'!$A:$A,0),MATCH(Summary!$C42,'3.5.1'!$1:$1,0)),"")</f>
        <v/>
      </c>
      <c r="M42" s="223"/>
      <c r="N42" s="223"/>
      <c r="O42" s="223">
        <f>_xlfn.IFNA(INDEX('3.5.1'!$1:$104,MATCH(O$4,'3.5.1'!$A:$A,0),MATCH(Summary!$C42,'3.5.1'!$1:$1,0)),"")</f>
        <v>0</v>
      </c>
      <c r="P42" s="223"/>
      <c r="Q42" s="223"/>
      <c r="R42" s="223" t="str">
        <f>_xlfn.IFNA(INDEX('3.5.1'!$1:$104,MATCH(R$4,'3.5.1'!$A:$A,0),MATCH(Summary!$C42,'3.5.1'!$1:$1,0)),"")</f>
        <v/>
      </c>
      <c r="S42" s="223"/>
      <c r="T42" s="223"/>
      <c r="U42" s="223" t="str">
        <f>_xlfn.IFNA(INDEX('3.5.1'!$1:$104,MATCH(U$4,'3.5.1'!$A:$A,0),MATCH(Summary!$C42,'3.5.1'!$1:$1,0)),"")</f>
        <v/>
      </c>
      <c r="V42" s="223"/>
      <c r="W42" s="223"/>
      <c r="X42" s="223">
        <f>_xlfn.IFNA(INDEX('3.5.1'!$1:$104,MATCH(X$4,'3.5.1'!$A:$A,0),MATCH(Summary!$C42,'3.5.1'!$1:$1,0)),"")</f>
        <v>0</v>
      </c>
      <c r="Y42" s="223"/>
      <c r="Z42" s="223"/>
      <c r="AA42" s="223" t="str">
        <f>_xlfn.IFNA(INDEX('3.5.1'!$1:$104,MATCH(AA$4,'3.5.1'!$A:$A,0),MATCH(Summary!$C42,'3.5.1'!$1:$1,0)),"")</f>
        <v/>
      </c>
      <c r="AB42" s="223"/>
      <c r="AC42" s="223"/>
      <c r="AD42" s="223" t="str">
        <f>_xlfn.IFNA(INDEX('3.5.1'!$1:$104,MATCH(AD$4,'3.5.1'!$A:$A,0),MATCH(Summary!$C42,'3.5.1'!$1:$1,0)),"")</f>
        <v/>
      </c>
      <c r="AE42" s="223"/>
      <c r="AF42" s="223"/>
      <c r="AG42" s="223">
        <f>_xlfn.IFNA(INDEX('3.5.1'!$1:$104,MATCH(AG$4,'3.5.1'!$A:$A,0),MATCH(Summary!$C42,'3.5.1'!$1:$1,0)),"")</f>
        <v>0</v>
      </c>
      <c r="AH42" s="223"/>
      <c r="AI42" s="223"/>
      <c r="AJ42" s="223" t="str">
        <f>_xlfn.IFNA(INDEX('3.5.1'!$1:$104,MATCH(AJ$4,'3.5.1'!$A:$A,0),MATCH(Summary!$C42,'3.5.1'!$1:$1,0)),"")</f>
        <v/>
      </c>
      <c r="AK42" s="223"/>
      <c r="AL42" s="223"/>
      <c r="AM42" s="223" t="str">
        <f>_xlfn.IFNA(INDEX('3.5.1'!$1:$104,MATCH(AM$4,'3.5.1'!$A:$A,0),MATCH(Summary!$C42,'3.5.1'!$1:$1,0)),"")</f>
        <v/>
      </c>
      <c r="AN42" s="223"/>
      <c r="AO42" s="223"/>
      <c r="AP42" s="223">
        <f>_xlfn.IFNA(INDEX('3.5.1'!$1:$104,MATCH(AP$4,'3.5.1'!$A:$A,0),MATCH(Summary!$C42,'3.5.1'!$1:$1,0)),"")</f>
        <v>0</v>
      </c>
      <c r="AQ42" s="223"/>
      <c r="AR42" s="223"/>
      <c r="AS42" s="223" t="str">
        <f>_xlfn.IFNA(INDEX('3.5.1'!$1:$104,MATCH(AS$4,'3.5.1'!$A:$A,0),MATCH(Summary!$C42,'3.5.1'!$1:$1,0)),"")</f>
        <v/>
      </c>
      <c r="AT42" s="223"/>
      <c r="AU42" s="223"/>
      <c r="AV42" s="223" t="str">
        <f>_xlfn.IFNA(INDEX('3.5.1'!$1:$104,MATCH(AV$4,'3.5.1'!$A:$A,0),MATCH(Summary!$C42,'3.5.1'!$1:$1,0)),"")</f>
        <v/>
      </c>
      <c r="AW42" s="223"/>
      <c r="AX42" s="223"/>
      <c r="AY42" s="223">
        <f>_xlfn.IFNA(INDEX('3.5.1'!$1:$104,MATCH(AY$4,'3.5.1'!$A:$A,0),MATCH(Summary!$C42,'3.5.1'!$1:$1,0)),"")</f>
        <v>0</v>
      </c>
      <c r="AZ42" s="223"/>
      <c r="BA42" s="223"/>
      <c r="BB42" s="223">
        <f>_xlfn.IFNA(INDEX('3.5.1'!$1:$104,MATCH(BB$4,'3.5.1'!$A:$A,0),MATCH(Summary!$C42,'3.5.1'!$1:$1,0)),"")</f>
        <v>0</v>
      </c>
      <c r="BC42" s="223"/>
      <c r="BD42" s="223"/>
      <c r="BE42" s="223" t="str">
        <f>_xlfn.IFNA(INDEX('3.5.1'!$1:$104,MATCH(BE$4,'3.5.1'!$A:$A,0),MATCH(Summary!$C42,'3.5.1'!$1:$1,0)),"")</f>
        <v/>
      </c>
      <c r="BF42" s="223"/>
      <c r="BG42" s="223"/>
      <c r="BH42" s="223" t="str">
        <f>_xlfn.IFNA(INDEX('3.5.1'!$1:$104,MATCH(BH$4,'3.5.1'!$A:$A,0),MATCH(Summary!$C42,'3.5.1'!$1:$1,0)),"")</f>
        <v/>
      </c>
      <c r="BI42" s="223"/>
      <c r="BJ42" s="223"/>
      <c r="BK42" s="223" t="str">
        <f>_xlfn.IFNA(INDEX('3.5.1'!$1:$104,MATCH(BK$4,'3.5.1'!$A:$A,0),MATCH(Summary!$C42,'3.5.1'!$1:$1,0)),"")</f>
        <v/>
      </c>
    </row>
    <row r="43" s="78" customFormat="1" outlineLevel="1" spans="1:63" ht="16.5" customHeight="1">
      <c r="A43" s="183"/>
      <c r="B43" s="183"/>
      <c r="C43" s="183" t="s">
        <v>118</v>
      </c>
      <c r="D43" s="220"/>
      <c r="E43" s="220"/>
      <c r="F43" s="220" t="s">
        <v>119</v>
      </c>
      <c r="G43" s="220" t="s">
        <v>120</v>
      </c>
      <c r="H43" s="221">
        <f t="shared" si="2"/>
        <v>0.0200150636198512</v>
      </c>
      <c r="I43" s="222" t="str">
        <f t="shared" si="1"/>
        <v/>
      </c>
      <c r="J43" s="223"/>
      <c r="K43" s="223"/>
      <c r="L43" s="223" t="str">
        <f>_xlfn.IFNA(INDEX('3.5.1'!$1:$104,MATCH(L$4,'3.5.1'!$A:$A,0),MATCH(Summary!$C43,'3.5.1'!$1:$1,0)),"")</f>
        <v/>
      </c>
      <c r="M43" s="223"/>
      <c r="N43" s="223"/>
      <c r="O43" s="223">
        <f>_xlfn.IFNA(INDEX('3.5.1'!$1:$104,MATCH(O$4,'3.5.1'!$A:$A,0),MATCH(Summary!$C43,'3.5.1'!$1:$1,0)),"")</f>
        <v>215920.419</v>
      </c>
      <c r="P43" s="223"/>
      <c r="Q43" s="223"/>
      <c r="R43" s="223" t="str">
        <f>_xlfn.IFNA(INDEX('3.5.1'!$1:$104,MATCH(R$4,'3.5.1'!$A:$A,0),MATCH(Summary!$C43,'3.5.1'!$1:$1,0)),"")</f>
        <v/>
      </c>
      <c r="S43" s="223"/>
      <c r="T43" s="223"/>
      <c r="U43" s="223" t="str">
        <f>_xlfn.IFNA(INDEX('3.5.1'!$1:$104,MATCH(U$4,'3.5.1'!$A:$A,0),MATCH(Summary!$C43,'3.5.1'!$1:$1,0)),"")</f>
        <v/>
      </c>
      <c r="V43" s="223"/>
      <c r="W43" s="223"/>
      <c r="X43" s="223">
        <f>_xlfn.IFNA(INDEX('3.5.1'!$1:$104,MATCH(X$4,'3.5.1'!$A:$A,0),MATCH(Summary!$C43,'3.5.1'!$1:$1,0)),"")</f>
        <v>205053.452</v>
      </c>
      <c r="Y43" s="223"/>
      <c r="Z43" s="223"/>
      <c r="AA43" s="223" t="str">
        <f>_xlfn.IFNA(INDEX('3.5.1'!$1:$104,MATCH(AA$4,'3.5.1'!$A:$A,0),MATCH(Summary!$C43,'3.5.1'!$1:$1,0)),"")</f>
        <v/>
      </c>
      <c r="AB43" s="223"/>
      <c r="AC43" s="223"/>
      <c r="AD43" s="223" t="str">
        <f>_xlfn.IFNA(INDEX('3.5.1'!$1:$104,MATCH(AD$4,'3.5.1'!$A:$A,0),MATCH(Summary!$C43,'3.5.1'!$1:$1,0)),"")</f>
        <v/>
      </c>
      <c r="AE43" s="223"/>
      <c r="AF43" s="223"/>
      <c r="AG43" s="223">
        <f>_xlfn.IFNA(INDEX('3.5.1'!$1:$104,MATCH(AG$4,'3.5.1'!$A:$A,0),MATCH(Summary!$C43,'3.5.1'!$1:$1,0)),"")</f>
        <v>194690.003</v>
      </c>
      <c r="AH43" s="223"/>
      <c r="AI43" s="223"/>
      <c r="AJ43" s="223" t="str">
        <f>_xlfn.IFNA(INDEX('3.5.1'!$1:$104,MATCH(AJ$4,'3.5.1'!$A:$A,0),MATCH(Summary!$C43,'3.5.1'!$1:$1,0)),"")</f>
        <v/>
      </c>
      <c r="AK43" s="223"/>
      <c r="AL43" s="223"/>
      <c r="AM43" s="223" t="str">
        <f>_xlfn.IFNA(INDEX('3.5.1'!$1:$104,MATCH(AM$4,'3.5.1'!$A:$A,0),MATCH(Summary!$C43,'3.5.1'!$1:$1,0)),"")</f>
        <v/>
      </c>
      <c r="AN43" s="223"/>
      <c r="AO43" s="223"/>
      <c r="AP43" s="223">
        <f>_xlfn.IFNA(INDEX('3.5.1'!$1:$104,MATCH(AP$4,'3.5.1'!$A:$A,0),MATCH(Summary!$C43,'3.5.1'!$1:$1,0)),"")</f>
        <v>213416.254</v>
      </c>
      <c r="AQ43" s="223"/>
      <c r="AR43" s="223"/>
      <c r="AS43" s="223" t="str">
        <f>_xlfn.IFNA(INDEX('3.5.1'!$1:$104,MATCH(AS$4,'3.5.1'!$A:$A,0),MATCH(Summary!$C43,'3.5.1'!$1:$1,0)),"")</f>
        <v/>
      </c>
      <c r="AT43" s="223"/>
      <c r="AU43" s="223"/>
      <c r="AV43" s="223" t="str">
        <f>_xlfn.IFNA(INDEX('3.5.1'!$1:$104,MATCH(AV$4,'3.5.1'!$A:$A,0),MATCH(Summary!$C43,'3.5.1'!$1:$1,0)),"")</f>
        <v/>
      </c>
      <c r="AW43" s="223"/>
      <c r="AX43" s="223"/>
      <c r="AY43" s="223">
        <f>_xlfn.IFNA(INDEX('3.5.1'!$1:$104,MATCH(AY$4,'3.5.1'!$A:$A,0),MATCH(Summary!$C43,'3.5.1'!$1:$1,0)),"")</f>
        <v>215013.888</v>
      </c>
      <c r="AZ43" s="223"/>
      <c r="BA43" s="223"/>
      <c r="BB43" s="223">
        <f>_xlfn.IFNA(INDEX('3.5.1'!$1:$104,MATCH(BB$4,'3.5.1'!$A:$A,0),MATCH(Summary!$C43,'3.5.1'!$1:$1,0)),"")</f>
        <v>190847.019</v>
      </c>
      <c r="BC43" s="223"/>
      <c r="BD43" s="223"/>
      <c r="BE43" s="223" t="str">
        <f>_xlfn.IFNA(INDEX('3.5.1'!$1:$104,MATCH(BE$4,'3.5.1'!$A:$A,0),MATCH(Summary!$C43,'3.5.1'!$1:$1,0)),"")</f>
        <v/>
      </c>
      <c r="BF43" s="223"/>
      <c r="BG43" s="223"/>
      <c r="BH43" s="223" t="str">
        <f>_xlfn.IFNA(INDEX('3.5.1'!$1:$104,MATCH(BH$4,'3.5.1'!$A:$A,0),MATCH(Summary!$C43,'3.5.1'!$1:$1,0)),"")</f>
        <v/>
      </c>
      <c r="BI43" s="223"/>
      <c r="BJ43" s="223"/>
      <c r="BK43" s="223" t="str">
        <f>_xlfn.IFNA(INDEX('3.5.1'!$1:$104,MATCH(BK$4,'3.5.1'!$A:$A,0),MATCH(Summary!$C43,'3.5.1'!$1:$1,0)),"")</f>
        <v/>
      </c>
    </row>
    <row r="44" s="78" customFormat="1" outlineLevel="1" spans="1:63" ht="16.5" customHeight="1">
      <c r="A44" s="183"/>
      <c r="B44" s="183"/>
      <c r="C44" s="183" t="s">
        <v>121</v>
      </c>
      <c r="D44" s="220"/>
      <c r="E44" s="220"/>
      <c r="F44" s="220" t="s">
        <v>122</v>
      </c>
      <c r="G44" s="220" t="s">
        <v>123</v>
      </c>
      <c r="H44" s="221">
        <f t="shared" si="2"/>
        <v>0.00110620433480142</v>
      </c>
      <c r="I44" s="222" t="str">
        <f t="shared" si="1"/>
        <v/>
      </c>
      <c r="J44" s="223"/>
      <c r="K44" s="223"/>
      <c r="L44" s="223" t="str">
        <f>_xlfn.IFNA(INDEX('3.5.1'!$1:$104,MATCH(L$4,'3.5.1'!$A:$A,0),MATCH(Summary!$C44,'3.5.1'!$1:$1,0)),"")</f>
        <v/>
      </c>
      <c r="M44" s="223"/>
      <c r="N44" s="223"/>
      <c r="O44" s="223">
        <f>_xlfn.IFNA(INDEX('3.5.1'!$1:$104,MATCH(O$4,'3.5.1'!$A:$A,0),MATCH(Summary!$C44,'3.5.1'!$1:$1,0)),"")</f>
        <v>11933.617</v>
      </c>
      <c r="P44" s="223"/>
      <c r="Q44" s="223"/>
      <c r="R44" s="223" t="str">
        <f>_xlfn.IFNA(INDEX('3.5.1'!$1:$104,MATCH(R$4,'3.5.1'!$A:$A,0),MATCH(Summary!$C44,'3.5.1'!$1:$1,0)),"")</f>
        <v/>
      </c>
      <c r="S44" s="223"/>
      <c r="T44" s="223"/>
      <c r="U44" s="223" t="str">
        <f>_xlfn.IFNA(INDEX('3.5.1'!$1:$104,MATCH(U$4,'3.5.1'!$A:$A,0),MATCH(Summary!$C44,'3.5.1'!$1:$1,0)),"")</f>
        <v/>
      </c>
      <c r="V44" s="223"/>
      <c r="W44" s="223"/>
      <c r="X44" s="223">
        <f>_xlfn.IFNA(INDEX('3.5.1'!$1:$104,MATCH(X$4,'3.5.1'!$A:$A,0),MATCH(Summary!$C44,'3.5.1'!$1:$1,0)),"")</f>
        <v>11139.161</v>
      </c>
      <c r="Y44" s="223"/>
      <c r="Z44" s="223"/>
      <c r="AA44" s="223" t="str">
        <f>_xlfn.IFNA(INDEX('3.5.1'!$1:$104,MATCH(AA$4,'3.5.1'!$A:$A,0),MATCH(Summary!$C44,'3.5.1'!$1:$1,0)),"")</f>
        <v/>
      </c>
      <c r="AB44" s="223"/>
      <c r="AC44" s="223"/>
      <c r="AD44" s="223" t="str">
        <f>_xlfn.IFNA(INDEX('3.5.1'!$1:$104,MATCH(AD$4,'3.5.1'!$A:$A,0),MATCH(Summary!$C44,'3.5.1'!$1:$1,0)),"")</f>
        <v/>
      </c>
      <c r="AE44" s="223"/>
      <c r="AF44" s="223"/>
      <c r="AG44" s="223">
        <f>_xlfn.IFNA(INDEX('3.5.1'!$1:$104,MATCH(AG$4,'3.5.1'!$A:$A,0),MATCH(Summary!$C44,'3.5.1'!$1:$1,0)),"")</f>
        <v>12926.27</v>
      </c>
      <c r="AH44" s="223"/>
      <c r="AI44" s="223"/>
      <c r="AJ44" s="223" t="str">
        <f>_xlfn.IFNA(INDEX('3.5.1'!$1:$104,MATCH(AJ$4,'3.5.1'!$A:$A,0),MATCH(Summary!$C44,'3.5.1'!$1:$1,0)),"")</f>
        <v/>
      </c>
      <c r="AK44" s="223"/>
      <c r="AL44" s="223"/>
      <c r="AM44" s="223" t="str">
        <f>_xlfn.IFNA(INDEX('3.5.1'!$1:$104,MATCH(AM$4,'3.5.1'!$A:$A,0),MATCH(Summary!$C44,'3.5.1'!$1:$1,0)),"")</f>
        <v/>
      </c>
      <c r="AN44" s="223"/>
      <c r="AO44" s="223"/>
      <c r="AP44" s="223">
        <f>_xlfn.IFNA(INDEX('3.5.1'!$1:$104,MATCH(AP$4,'3.5.1'!$A:$A,0),MATCH(Summary!$C44,'3.5.1'!$1:$1,0)),"")</f>
        <v>12032.436</v>
      </c>
      <c r="AQ44" s="223"/>
      <c r="AR44" s="223"/>
      <c r="AS44" s="223" t="str">
        <f>_xlfn.IFNA(INDEX('3.5.1'!$1:$104,MATCH(AS$4,'3.5.1'!$A:$A,0),MATCH(Summary!$C44,'3.5.1'!$1:$1,0)),"")</f>
        <v/>
      </c>
      <c r="AT44" s="223"/>
      <c r="AU44" s="223"/>
      <c r="AV44" s="223" t="str">
        <f>_xlfn.IFNA(INDEX('3.5.1'!$1:$104,MATCH(AV$4,'3.5.1'!$A:$A,0),MATCH(Summary!$C44,'3.5.1'!$1:$1,0)),"")</f>
        <v/>
      </c>
      <c r="AW44" s="223"/>
      <c r="AX44" s="223"/>
      <c r="AY44" s="223">
        <f>_xlfn.IFNA(INDEX('3.5.1'!$1:$104,MATCH(AY$4,'3.5.1'!$A:$A,0),MATCH(Summary!$C44,'3.5.1'!$1:$1,0)),"")</f>
        <v>12206.375</v>
      </c>
      <c r="AZ44" s="223"/>
      <c r="BA44" s="223"/>
      <c r="BB44" s="223">
        <f>_xlfn.IFNA(INDEX('3.5.1'!$1:$104,MATCH(BB$4,'3.5.1'!$A:$A,0),MATCH(Summary!$C44,'3.5.1'!$1:$1,0)),"")</f>
        <v>8431.267</v>
      </c>
      <c r="BC44" s="223"/>
      <c r="BD44" s="223"/>
      <c r="BE44" s="223" t="str">
        <f>_xlfn.IFNA(INDEX('3.5.1'!$1:$104,MATCH(BE$4,'3.5.1'!$A:$A,0),MATCH(Summary!$C44,'3.5.1'!$1:$1,0)),"")</f>
        <v/>
      </c>
      <c r="BF44" s="223"/>
      <c r="BG44" s="223"/>
      <c r="BH44" s="223" t="str">
        <f>_xlfn.IFNA(INDEX('3.5.1'!$1:$104,MATCH(BH$4,'3.5.1'!$A:$A,0),MATCH(Summary!$C44,'3.5.1'!$1:$1,0)),"")</f>
        <v/>
      </c>
      <c r="BI44" s="223"/>
      <c r="BJ44" s="223"/>
      <c r="BK44" s="223" t="str">
        <f>_xlfn.IFNA(INDEX('3.5.1'!$1:$104,MATCH(BK$4,'3.5.1'!$A:$A,0),MATCH(Summary!$C44,'3.5.1'!$1:$1,0)),"")</f>
        <v/>
      </c>
    </row>
    <row r="45" s="78" customFormat="1" outlineLevel="1" spans="1:63" ht="16.5" customHeight="1">
      <c r="A45" s="183"/>
      <c r="B45" s="183"/>
      <c r="C45" s="183" t="s">
        <v>124</v>
      </c>
      <c r="D45" s="220"/>
      <c r="E45" s="220"/>
      <c r="F45" s="220" t="s">
        <v>125</v>
      </c>
      <c r="G45" s="220" t="s">
        <v>126</v>
      </c>
      <c r="H45" s="221">
        <f t="shared" si="2"/>
        <v>0.0211920774081729</v>
      </c>
      <c r="I45" s="222" t="str">
        <f t="shared" si="1"/>
        <v/>
      </c>
      <c r="J45" s="223"/>
      <c r="K45" s="223"/>
      <c r="L45" s="223" t="str">
        <f>_xlfn.IFNA(INDEX('3.5.1'!$1:$104,MATCH(L$4,'3.5.1'!$A:$A,0),MATCH(Summary!$C45,'3.5.1'!$1:$1,0)),"")</f>
        <v/>
      </c>
      <c r="M45" s="223"/>
      <c r="N45" s="223"/>
      <c r="O45" s="223">
        <f>_xlfn.IFNA(INDEX('3.5.1'!$1:$104,MATCH(O$4,'3.5.1'!$A:$A,0),MATCH(Summary!$C45,'3.5.1'!$1:$1,0)),"")</f>
        <v>228617.921</v>
      </c>
      <c r="P45" s="223"/>
      <c r="Q45" s="223"/>
      <c r="R45" s="223" t="str">
        <f>_xlfn.IFNA(INDEX('3.5.1'!$1:$104,MATCH(R$4,'3.5.1'!$A:$A,0),MATCH(Summary!$C45,'3.5.1'!$1:$1,0)),"")</f>
        <v/>
      </c>
      <c r="S45" s="223"/>
      <c r="T45" s="223"/>
      <c r="U45" s="223" t="str">
        <f>_xlfn.IFNA(INDEX('3.5.1'!$1:$104,MATCH(U$4,'3.5.1'!$A:$A,0),MATCH(Summary!$C45,'3.5.1'!$1:$1,0)),"")</f>
        <v/>
      </c>
      <c r="V45" s="223"/>
      <c r="W45" s="223"/>
      <c r="X45" s="223">
        <f>_xlfn.IFNA(INDEX('3.5.1'!$1:$104,MATCH(X$4,'3.5.1'!$A:$A,0),MATCH(Summary!$C45,'3.5.1'!$1:$1,0)),"")</f>
        <v>215874.986</v>
      </c>
      <c r="Y45" s="223"/>
      <c r="Z45" s="223"/>
      <c r="AA45" s="223" t="str">
        <f>_xlfn.IFNA(INDEX('3.5.1'!$1:$104,MATCH(AA$4,'3.5.1'!$A:$A,0),MATCH(Summary!$C45,'3.5.1'!$1:$1,0)),"")</f>
        <v/>
      </c>
      <c r="AB45" s="223"/>
      <c r="AC45" s="223"/>
      <c r="AD45" s="223" t="str">
        <f>_xlfn.IFNA(INDEX('3.5.1'!$1:$104,MATCH(AD$4,'3.5.1'!$A:$A,0),MATCH(Summary!$C45,'3.5.1'!$1:$1,0)),"")</f>
        <v/>
      </c>
      <c r="AE45" s="223"/>
      <c r="AF45" s="223"/>
      <c r="AG45" s="223">
        <f>_xlfn.IFNA(INDEX('3.5.1'!$1:$104,MATCH(AG$4,'3.5.1'!$A:$A,0),MATCH(Summary!$C45,'3.5.1'!$1:$1,0)),"")</f>
        <v>203059.652</v>
      </c>
      <c r="AH45" s="223"/>
      <c r="AI45" s="223"/>
      <c r="AJ45" s="223" t="str">
        <f>_xlfn.IFNA(INDEX('3.5.1'!$1:$104,MATCH(AJ$4,'3.5.1'!$A:$A,0),MATCH(Summary!$C45,'3.5.1'!$1:$1,0)),"")</f>
        <v/>
      </c>
      <c r="AK45" s="223"/>
      <c r="AL45" s="223"/>
      <c r="AM45" s="223" t="str">
        <f>_xlfn.IFNA(INDEX('3.5.1'!$1:$104,MATCH(AM$4,'3.5.1'!$A:$A,0),MATCH(Summary!$C45,'3.5.1'!$1:$1,0)),"")</f>
        <v/>
      </c>
      <c r="AN45" s="223"/>
      <c r="AO45" s="223"/>
      <c r="AP45" s="223">
        <f>_xlfn.IFNA(INDEX('3.5.1'!$1:$104,MATCH(AP$4,'3.5.1'!$A:$A,0),MATCH(Summary!$C45,'3.5.1'!$1:$1,0)),"")</f>
        <v>197962.547</v>
      </c>
      <c r="AQ45" s="223"/>
      <c r="AR45" s="223"/>
      <c r="AS45" s="223" t="str">
        <f>_xlfn.IFNA(INDEX('3.5.1'!$1:$104,MATCH(AS$4,'3.5.1'!$A:$A,0),MATCH(Summary!$C45,'3.5.1'!$1:$1,0)),"")</f>
        <v/>
      </c>
      <c r="AT45" s="223"/>
      <c r="AU45" s="223"/>
      <c r="AV45" s="223" t="str">
        <f>_xlfn.IFNA(INDEX('3.5.1'!$1:$104,MATCH(AV$4,'3.5.1'!$A:$A,0),MATCH(Summary!$C45,'3.5.1'!$1:$1,0)),"")</f>
        <v/>
      </c>
      <c r="AW45" s="223"/>
      <c r="AX45" s="223"/>
      <c r="AY45" s="223">
        <f>_xlfn.IFNA(INDEX('3.5.1'!$1:$104,MATCH(AY$4,'3.5.1'!$A:$A,0),MATCH(Summary!$C45,'3.5.1'!$1:$1,0)),"")</f>
        <v>202849.75</v>
      </c>
      <c r="AZ45" s="223"/>
      <c r="BA45" s="223"/>
      <c r="BB45" s="223">
        <f>_xlfn.IFNA(INDEX('3.5.1'!$1:$104,MATCH(BB$4,'3.5.1'!$A:$A,0),MATCH(Summary!$C45,'3.5.1'!$1:$1,0)),"")</f>
        <v>183124.301</v>
      </c>
      <c r="BC45" s="223"/>
      <c r="BD45" s="223"/>
      <c r="BE45" s="223" t="str">
        <f>_xlfn.IFNA(INDEX('3.5.1'!$1:$104,MATCH(BE$4,'3.5.1'!$A:$A,0),MATCH(Summary!$C45,'3.5.1'!$1:$1,0)),"")</f>
        <v/>
      </c>
      <c r="BF45" s="223"/>
      <c r="BG45" s="223"/>
      <c r="BH45" s="223" t="str">
        <f>_xlfn.IFNA(INDEX('3.5.1'!$1:$104,MATCH(BH$4,'3.5.1'!$A:$A,0),MATCH(Summary!$C45,'3.5.1'!$1:$1,0)),"")</f>
        <v/>
      </c>
      <c r="BI45" s="223"/>
      <c r="BJ45" s="223"/>
      <c r="BK45" s="223" t="str">
        <f>_xlfn.IFNA(INDEX('3.5.1'!$1:$104,MATCH(BK$4,'3.5.1'!$A:$A,0),MATCH(Summary!$C45,'3.5.1'!$1:$1,0)),"")</f>
        <v/>
      </c>
    </row>
    <row r="46" s="78" customFormat="1" hidden="1" outlineLevel="2" spans="1:63" ht="16.5" customHeight="1">
      <c r="A46" s="183"/>
      <c r="B46" s="183"/>
      <c r="C46" s="183" t="s">
        <v>127</v>
      </c>
      <c r="D46" s="203"/>
      <c r="E46" s="203"/>
      <c r="F46" s="218" t="s">
        <v>128</v>
      </c>
      <c r="G46" s="219" t="s">
        <v>129</v>
      </c>
      <c r="H46" s="206">
        <f t="shared" si="2"/>
        <v>0.00791083769053032</v>
      </c>
      <c r="I46" s="207" t="str">
        <f t="shared" si="1"/>
        <v/>
      </c>
      <c r="J46" s="208"/>
      <c r="K46" s="208"/>
      <c r="L46" s="208" t="str">
        <f>_xlfn.IFNA(INDEX('3.5.1'!$1:$104,MATCH(L$4,'3.5.1'!$A:$A,0),MATCH(Summary!$C46,'3.5.1'!$1:$1,0)),"")</f>
        <v/>
      </c>
      <c r="M46" s="208"/>
      <c r="N46" s="208"/>
      <c r="O46" s="208">
        <f>_xlfn.IFNA(INDEX('3.5.1'!$1:$104,MATCH(O$4,'3.5.1'!$A:$A,0),MATCH(Summary!$C46,'3.5.1'!$1:$1,0)),"")</f>
        <v>85341.292</v>
      </c>
      <c r="P46" s="208"/>
      <c r="Q46" s="208"/>
      <c r="R46" s="208" t="str">
        <f>_xlfn.IFNA(INDEX('3.5.1'!$1:$104,MATCH(R$4,'3.5.1'!$A:$A,0),MATCH(Summary!$C46,'3.5.1'!$1:$1,0)),"")</f>
        <v/>
      </c>
      <c r="S46" s="208"/>
      <c r="T46" s="208"/>
      <c r="U46" s="208" t="str">
        <f>_xlfn.IFNA(INDEX('3.5.1'!$1:$104,MATCH(U$4,'3.5.1'!$A:$A,0),MATCH(Summary!$C46,'3.5.1'!$1:$1,0)),"")</f>
        <v/>
      </c>
      <c r="V46" s="208"/>
      <c r="W46" s="208"/>
      <c r="X46" s="208">
        <f>_xlfn.IFNA(INDEX('3.5.1'!$1:$104,MATCH(X$4,'3.5.1'!$A:$A,0),MATCH(Summary!$C46,'3.5.1'!$1:$1,0)),"")</f>
        <v>88620.095</v>
      </c>
      <c r="Y46" s="208"/>
      <c r="Z46" s="208"/>
      <c r="AA46" s="208" t="str">
        <f>_xlfn.IFNA(INDEX('3.5.1'!$1:$104,MATCH(AA$4,'3.5.1'!$A:$A,0),MATCH(Summary!$C46,'3.5.1'!$1:$1,0)),"")</f>
        <v/>
      </c>
      <c r="AB46" s="208"/>
      <c r="AC46" s="208"/>
      <c r="AD46" s="208" t="str">
        <f>_xlfn.IFNA(INDEX('3.5.1'!$1:$104,MATCH(AD$4,'3.5.1'!$A:$A,0),MATCH(Summary!$C46,'3.5.1'!$1:$1,0)),"")</f>
        <v/>
      </c>
      <c r="AE46" s="208"/>
      <c r="AF46" s="208"/>
      <c r="AG46" s="208">
        <f>_xlfn.IFNA(INDEX('3.5.1'!$1:$104,MATCH(AG$4,'3.5.1'!$A:$A,0),MATCH(Summary!$C46,'3.5.1'!$1:$1,0)),"")</f>
        <v>78288.138</v>
      </c>
      <c r="AH46" s="208"/>
      <c r="AI46" s="208"/>
      <c r="AJ46" s="208" t="str">
        <f>_xlfn.IFNA(INDEX('3.5.1'!$1:$104,MATCH(AJ$4,'3.5.1'!$A:$A,0),MATCH(Summary!$C46,'3.5.1'!$1:$1,0)),"")</f>
        <v/>
      </c>
      <c r="AK46" s="208"/>
      <c r="AL46" s="208"/>
      <c r="AM46" s="208" t="str">
        <f>_xlfn.IFNA(INDEX('3.5.1'!$1:$104,MATCH(AM$4,'3.5.1'!$A:$A,0),MATCH(Summary!$C46,'3.5.1'!$1:$1,0)),"")</f>
        <v/>
      </c>
      <c r="AN46" s="208"/>
      <c r="AO46" s="208"/>
      <c r="AP46" s="208">
        <f>_xlfn.IFNA(INDEX('3.5.1'!$1:$104,MATCH(AP$4,'3.5.1'!$A:$A,0),MATCH(Summary!$C46,'3.5.1'!$1:$1,0)),"")</f>
        <v>83789.733</v>
      </c>
      <c r="AQ46" s="208"/>
      <c r="AR46" s="208"/>
      <c r="AS46" s="208" t="str">
        <f>_xlfn.IFNA(INDEX('3.5.1'!$1:$104,MATCH(AS$4,'3.5.1'!$A:$A,0),MATCH(Summary!$C46,'3.5.1'!$1:$1,0)),"")</f>
        <v/>
      </c>
      <c r="AT46" s="208"/>
      <c r="AU46" s="208"/>
      <c r="AV46" s="208" t="str">
        <f>_xlfn.IFNA(INDEX('3.5.1'!$1:$104,MATCH(AV$4,'3.5.1'!$A:$A,0),MATCH(Summary!$C46,'3.5.1'!$1:$1,0)),"")</f>
        <v/>
      </c>
      <c r="AW46" s="208"/>
      <c r="AX46" s="208"/>
      <c r="AY46" s="208">
        <f>_xlfn.IFNA(INDEX('3.5.1'!$1:$104,MATCH(AY$4,'3.5.1'!$A:$A,0),MATCH(Summary!$C46,'3.5.1'!$1:$1,0)),"")</f>
        <v>79662.793</v>
      </c>
      <c r="AZ46" s="208"/>
      <c r="BA46" s="208"/>
      <c r="BB46" s="208">
        <f>_xlfn.IFNA(INDEX('3.5.1'!$1:$104,MATCH(BB$4,'3.5.1'!$A:$A,0),MATCH(Summary!$C46,'3.5.1'!$1:$1,0)),"")</f>
        <v>65267.46</v>
      </c>
      <c r="BC46" s="208"/>
      <c r="BD46" s="208"/>
      <c r="BE46" s="208" t="str">
        <f>_xlfn.IFNA(INDEX('3.5.1'!$1:$104,MATCH(BE$4,'3.5.1'!$A:$A,0),MATCH(Summary!$C46,'3.5.1'!$1:$1,0)),"")</f>
        <v/>
      </c>
      <c r="BF46" s="208"/>
      <c r="BG46" s="208"/>
      <c r="BH46" s="208" t="str">
        <f>_xlfn.IFNA(INDEX('3.5.1'!$1:$104,MATCH(BH$4,'3.5.1'!$A:$A,0),MATCH(Summary!$C46,'3.5.1'!$1:$1,0)),"")</f>
        <v/>
      </c>
      <c r="BI46" s="208"/>
      <c r="BJ46" s="208"/>
      <c r="BK46" s="208" t="str">
        <f>_xlfn.IFNA(INDEX('3.5.1'!$1:$104,MATCH(BK$4,'3.5.1'!$A:$A,0),MATCH(Summary!$C46,'3.5.1'!$1:$1,0)),"")</f>
        <v/>
      </c>
    </row>
    <row r="47" s="78" customFormat="1" hidden="1" outlineLevel="2" spans="1:63" ht="16.5" customHeight="1">
      <c r="A47" s="183"/>
      <c r="B47" s="183"/>
      <c r="C47" s="183" t="s">
        <v>130</v>
      </c>
      <c r="D47" s="203"/>
      <c r="E47" s="203"/>
      <c r="F47" s="218" t="s">
        <v>131</v>
      </c>
      <c r="G47" s="219" t="s">
        <v>114</v>
      </c>
      <c r="H47" s="206">
        <f t="shared" si="2"/>
        <v>0.0132812397176425</v>
      </c>
      <c r="I47" s="207" t="str">
        <f t="shared" si="1"/>
        <v/>
      </c>
      <c r="J47" s="208"/>
      <c r="K47" s="208"/>
      <c r="L47" s="208" t="str">
        <f>_xlfn.IFNA(INDEX('3.5.1'!$1:$104,MATCH(L$4,'3.5.1'!$A:$A,0),MATCH(Summary!$C47,'3.5.1'!$1:$1,0)),"")</f>
        <v/>
      </c>
      <c r="M47" s="208"/>
      <c r="N47" s="208"/>
      <c r="O47" s="208">
        <f>_xlfn.IFNA(INDEX('3.5.1'!$1:$104,MATCH(O$4,'3.5.1'!$A:$A,0),MATCH(Summary!$C47,'3.5.1'!$1:$1,0)),"")</f>
        <v>143276.629</v>
      </c>
      <c r="P47" s="208"/>
      <c r="Q47" s="208"/>
      <c r="R47" s="208" t="str">
        <f>_xlfn.IFNA(INDEX('3.5.1'!$1:$104,MATCH(R$4,'3.5.1'!$A:$A,0),MATCH(Summary!$C47,'3.5.1'!$1:$1,0)),"")</f>
        <v/>
      </c>
      <c r="S47" s="208"/>
      <c r="T47" s="208"/>
      <c r="U47" s="208" t="str">
        <f>_xlfn.IFNA(INDEX('3.5.1'!$1:$104,MATCH(U$4,'3.5.1'!$A:$A,0),MATCH(Summary!$C47,'3.5.1'!$1:$1,0)),"")</f>
        <v/>
      </c>
      <c r="V47" s="208"/>
      <c r="W47" s="208"/>
      <c r="X47" s="208">
        <f>_xlfn.IFNA(INDEX('3.5.1'!$1:$104,MATCH(X$4,'3.5.1'!$A:$A,0),MATCH(Summary!$C47,'3.5.1'!$1:$1,0)),"")</f>
        <v>127254.891</v>
      </c>
      <c r="Y47" s="208"/>
      <c r="Z47" s="208"/>
      <c r="AA47" s="208" t="str">
        <f>_xlfn.IFNA(INDEX('3.5.1'!$1:$104,MATCH(AA$4,'3.5.1'!$A:$A,0),MATCH(Summary!$C47,'3.5.1'!$1:$1,0)),"")</f>
        <v/>
      </c>
      <c r="AB47" s="208"/>
      <c r="AC47" s="208"/>
      <c r="AD47" s="208" t="str">
        <f>_xlfn.IFNA(INDEX('3.5.1'!$1:$104,MATCH(AD$4,'3.5.1'!$A:$A,0),MATCH(Summary!$C47,'3.5.1'!$1:$1,0)),"")</f>
        <v/>
      </c>
      <c r="AE47" s="208"/>
      <c r="AF47" s="208"/>
      <c r="AG47" s="208">
        <f>_xlfn.IFNA(INDEX('3.5.1'!$1:$104,MATCH(AG$4,'3.5.1'!$A:$A,0),MATCH(Summary!$C47,'3.5.1'!$1:$1,0)),"")</f>
        <v>124771.514</v>
      </c>
      <c r="AH47" s="208"/>
      <c r="AI47" s="208"/>
      <c r="AJ47" s="208" t="str">
        <f>_xlfn.IFNA(INDEX('3.5.1'!$1:$104,MATCH(AJ$4,'3.5.1'!$A:$A,0),MATCH(Summary!$C47,'3.5.1'!$1:$1,0)),"")</f>
        <v/>
      </c>
      <c r="AK47" s="208"/>
      <c r="AL47" s="208"/>
      <c r="AM47" s="208" t="str">
        <f>_xlfn.IFNA(INDEX('3.5.1'!$1:$104,MATCH(AM$4,'3.5.1'!$A:$A,0),MATCH(Summary!$C47,'3.5.1'!$1:$1,0)),"")</f>
        <v/>
      </c>
      <c r="AN47" s="208"/>
      <c r="AO47" s="208"/>
      <c r="AP47" s="208">
        <f>_xlfn.IFNA(INDEX('3.5.1'!$1:$104,MATCH(AP$4,'3.5.1'!$A:$A,0),MATCH(Summary!$C47,'3.5.1'!$1:$1,0)),"")</f>
        <v>114172.814</v>
      </c>
      <c r="AQ47" s="208"/>
      <c r="AR47" s="208"/>
      <c r="AS47" s="208" t="str">
        <f>_xlfn.IFNA(INDEX('3.5.1'!$1:$104,MATCH(AS$4,'3.5.1'!$A:$A,0),MATCH(Summary!$C47,'3.5.1'!$1:$1,0)),"")</f>
        <v/>
      </c>
      <c r="AT47" s="208"/>
      <c r="AU47" s="208"/>
      <c r="AV47" s="208" t="str">
        <f>_xlfn.IFNA(INDEX('3.5.1'!$1:$104,MATCH(AV$4,'3.5.1'!$A:$A,0),MATCH(Summary!$C47,'3.5.1'!$1:$1,0)),"")</f>
        <v/>
      </c>
      <c r="AW47" s="208"/>
      <c r="AX47" s="208"/>
      <c r="AY47" s="208">
        <f>_xlfn.IFNA(INDEX('3.5.1'!$1:$104,MATCH(AY$4,'3.5.1'!$A:$A,0),MATCH(Summary!$C47,'3.5.1'!$1:$1,0)),"")</f>
        <v>123186.957</v>
      </c>
      <c r="AZ47" s="208"/>
      <c r="BA47" s="208"/>
      <c r="BB47" s="208">
        <f>_xlfn.IFNA(INDEX('3.5.1'!$1:$104,MATCH(BB$4,'3.5.1'!$A:$A,0),MATCH(Summary!$C47,'3.5.1'!$1:$1,0)),"")</f>
        <v>117856.841</v>
      </c>
      <c r="BC47" s="208"/>
      <c r="BD47" s="208"/>
      <c r="BE47" s="208" t="str">
        <f>_xlfn.IFNA(INDEX('3.5.1'!$1:$104,MATCH(BE$4,'3.5.1'!$A:$A,0),MATCH(Summary!$C47,'3.5.1'!$1:$1,0)),"")</f>
        <v/>
      </c>
      <c r="BF47" s="208"/>
      <c r="BG47" s="208"/>
      <c r="BH47" s="208" t="str">
        <f>_xlfn.IFNA(INDEX('3.5.1'!$1:$104,MATCH(BH$4,'3.5.1'!$A:$A,0),MATCH(Summary!$C47,'3.5.1'!$1:$1,0)),"")</f>
        <v/>
      </c>
      <c r="BI47" s="208"/>
      <c r="BJ47" s="208"/>
      <c r="BK47" s="208" t="str">
        <f>_xlfn.IFNA(INDEX('3.5.1'!$1:$104,MATCH(BK$4,'3.5.1'!$A:$A,0),MATCH(Summary!$C47,'3.5.1'!$1:$1,0)),"")</f>
        <v/>
      </c>
    </row>
    <row r="48" s="78" customFormat="1" outlineLevel="1" collapsed="1" spans="1:63" ht="16.5" customHeight="1">
      <c r="A48" s="183"/>
      <c r="B48" s="183"/>
      <c r="C48" s="183" t="s">
        <v>132</v>
      </c>
      <c r="D48" s="220"/>
      <c r="E48" s="220"/>
      <c r="F48" s="220" t="s">
        <v>133</v>
      </c>
      <c r="G48" s="220" t="s">
        <v>134</v>
      </c>
      <c r="H48" s="221">
        <f t="shared" si="2"/>
        <v>0.12844609087745</v>
      </c>
      <c r="I48" s="222" t="str">
        <f t="shared" si="1"/>
        <v/>
      </c>
      <c r="J48" s="223"/>
      <c r="K48" s="223"/>
      <c r="L48" s="223" t="str">
        <f>_xlfn.IFNA(INDEX('3.5.1'!$1:$104,MATCH(L$4,'3.5.1'!$A:$A,0),MATCH(Summary!$C48,'3.5.1'!$1:$1,0)),"")</f>
        <v/>
      </c>
      <c r="M48" s="223"/>
      <c r="N48" s="223"/>
      <c r="O48" s="223">
        <f>_xlfn.IFNA(INDEX('3.5.1'!$1:$104,MATCH(O$4,'3.5.1'!$A:$A,0),MATCH(Summary!$C48,'3.5.1'!$1:$1,0)),"")</f>
        <v>1385663.033</v>
      </c>
      <c r="P48" s="223"/>
      <c r="Q48" s="223"/>
      <c r="R48" s="223" t="str">
        <f>_xlfn.IFNA(INDEX('3.5.1'!$1:$104,MATCH(R$4,'3.5.1'!$A:$A,0),MATCH(Summary!$C48,'3.5.1'!$1:$1,0)),"")</f>
        <v/>
      </c>
      <c r="S48" s="223"/>
      <c r="T48" s="223"/>
      <c r="U48" s="223" t="str">
        <f>_xlfn.IFNA(INDEX('3.5.1'!$1:$104,MATCH(U$4,'3.5.1'!$A:$A,0),MATCH(Summary!$C48,'3.5.1'!$1:$1,0)),"")</f>
        <v/>
      </c>
      <c r="V48" s="223"/>
      <c r="W48" s="223"/>
      <c r="X48" s="223">
        <f>_xlfn.IFNA(INDEX('3.5.1'!$1:$104,MATCH(X$4,'3.5.1'!$A:$A,0),MATCH(Summary!$C48,'3.5.1'!$1:$1,0)),"")</f>
        <v>1405132.709</v>
      </c>
      <c r="Y48" s="223"/>
      <c r="Z48" s="223"/>
      <c r="AA48" s="223" t="str">
        <f>_xlfn.IFNA(INDEX('3.5.1'!$1:$104,MATCH(AA$4,'3.5.1'!$A:$A,0),MATCH(Summary!$C48,'3.5.1'!$1:$1,0)),"")</f>
        <v/>
      </c>
      <c r="AB48" s="223"/>
      <c r="AC48" s="223"/>
      <c r="AD48" s="223" t="str">
        <f>_xlfn.IFNA(INDEX('3.5.1'!$1:$104,MATCH(AD$4,'3.5.1'!$A:$A,0),MATCH(Summary!$C48,'3.5.1'!$1:$1,0)),"")</f>
        <v/>
      </c>
      <c r="AE48" s="223"/>
      <c r="AF48" s="223"/>
      <c r="AG48" s="223">
        <f>_xlfn.IFNA(INDEX('3.5.1'!$1:$104,MATCH(AG$4,'3.5.1'!$A:$A,0),MATCH(Summary!$C48,'3.5.1'!$1:$1,0)),"")</f>
        <v>1437648.757</v>
      </c>
      <c r="AH48" s="223"/>
      <c r="AI48" s="223"/>
      <c r="AJ48" s="223" t="str">
        <f>_xlfn.IFNA(INDEX('3.5.1'!$1:$104,MATCH(AJ$4,'3.5.1'!$A:$A,0),MATCH(Summary!$C48,'3.5.1'!$1:$1,0)),"")</f>
        <v/>
      </c>
      <c r="AK48" s="223"/>
      <c r="AL48" s="223"/>
      <c r="AM48" s="223" t="str">
        <f>_xlfn.IFNA(INDEX('3.5.1'!$1:$104,MATCH(AM$4,'3.5.1'!$A:$A,0),MATCH(Summary!$C48,'3.5.1'!$1:$1,0)),"")</f>
        <v/>
      </c>
      <c r="AN48" s="223"/>
      <c r="AO48" s="223"/>
      <c r="AP48" s="223">
        <f>_xlfn.IFNA(INDEX('3.5.1'!$1:$104,MATCH(AP$4,'3.5.1'!$A:$A,0),MATCH(Summary!$C48,'3.5.1'!$1:$1,0)),"")</f>
        <v>1458963.959</v>
      </c>
      <c r="AQ48" s="223"/>
      <c r="AR48" s="223"/>
      <c r="AS48" s="223" t="str">
        <f>_xlfn.IFNA(INDEX('3.5.1'!$1:$104,MATCH(AS$4,'3.5.1'!$A:$A,0),MATCH(Summary!$C48,'3.5.1'!$1:$1,0)),"")</f>
        <v/>
      </c>
      <c r="AT48" s="223"/>
      <c r="AU48" s="223"/>
      <c r="AV48" s="223" t="str">
        <f>_xlfn.IFNA(INDEX('3.5.1'!$1:$104,MATCH(AV$4,'3.5.1'!$A:$A,0),MATCH(Summary!$C48,'3.5.1'!$1:$1,0)),"")</f>
        <v/>
      </c>
      <c r="AW48" s="223"/>
      <c r="AX48" s="223"/>
      <c r="AY48" s="223">
        <f>_xlfn.IFNA(INDEX('3.5.1'!$1:$104,MATCH(AY$4,'3.5.1'!$A:$A,0),MATCH(Summary!$C48,'3.5.1'!$1:$1,0)),"")</f>
        <v>1507238.405</v>
      </c>
      <c r="AZ48" s="223"/>
      <c r="BA48" s="223"/>
      <c r="BB48" s="223">
        <f>_xlfn.IFNA(INDEX('3.5.1'!$1:$104,MATCH(BB$4,'3.5.1'!$A:$A,0),MATCH(Summary!$C48,'3.5.1'!$1:$1,0)),"")</f>
        <v>1552482.093</v>
      </c>
      <c r="BC48" s="223"/>
      <c r="BD48" s="223"/>
      <c r="BE48" s="223" t="str">
        <f>_xlfn.IFNA(INDEX('3.5.1'!$1:$104,MATCH(BE$4,'3.5.1'!$A:$A,0),MATCH(Summary!$C48,'3.5.1'!$1:$1,0)),"")</f>
        <v/>
      </c>
      <c r="BF48" s="223"/>
      <c r="BG48" s="223"/>
      <c r="BH48" s="223" t="str">
        <f>_xlfn.IFNA(INDEX('3.5.1'!$1:$104,MATCH(BH$4,'3.5.1'!$A:$A,0),MATCH(Summary!$C48,'3.5.1'!$1:$1,0)),"")</f>
        <v/>
      </c>
      <c r="BI48" s="223"/>
      <c r="BJ48" s="223"/>
      <c r="BK48" s="223" t="str">
        <f>_xlfn.IFNA(INDEX('3.5.1'!$1:$104,MATCH(BK$4,'3.5.1'!$A:$A,0),MATCH(Summary!$C48,'3.5.1'!$1:$1,0)),"")</f>
        <v/>
      </c>
    </row>
    <row r="49" s="79" customFormat="1" outlineLevel="1" spans="1:63" ht="16.5" customHeight="1">
      <c r="A49" s="183"/>
      <c r="B49" s="183"/>
      <c r="C49" s="183" t="s">
        <v>135</v>
      </c>
      <c r="D49" s="198"/>
      <c r="E49" s="198"/>
      <c r="F49" s="199" t="s">
        <v>136</v>
      </c>
      <c r="G49" s="199" t="s">
        <v>137</v>
      </c>
      <c r="H49" s="200">
        <f t="shared" si="2"/>
        <v>0.12179333941266</v>
      </c>
      <c r="I49" s="201" t="str">
        <f t="shared" si="1"/>
        <v/>
      </c>
      <c r="J49" s="202"/>
      <c r="K49" s="202"/>
      <c r="L49" s="202" t="str">
        <f>_xlfn.IFNA(INDEX('3.5.1'!$1:$104,MATCH(L$4,'3.5.1'!$A:$A,0),MATCH(Summary!$C49,'3.5.1'!$1:$1,0)),"")</f>
        <v/>
      </c>
      <c r="M49" s="202"/>
      <c r="N49" s="202"/>
      <c r="O49" s="202">
        <f>_xlfn.IFNA(INDEX('3.5.1'!$1:$104,MATCH(O$4,'3.5.1'!$A:$A,0),MATCH(Summary!$C49,'3.5.1'!$1:$1,0)),"")</f>
        <v>1313893.844</v>
      </c>
      <c r="P49" s="202"/>
      <c r="Q49" s="202"/>
      <c r="R49" s="202" t="str">
        <f>_xlfn.IFNA(INDEX('3.5.1'!$1:$104,MATCH(R$4,'3.5.1'!$A:$A,0),MATCH(Summary!$C49,'3.5.1'!$1:$1,0)),"")</f>
        <v/>
      </c>
      <c r="S49" s="202"/>
      <c r="T49" s="202"/>
      <c r="U49" s="202" t="str">
        <f>_xlfn.IFNA(INDEX('3.5.1'!$1:$104,MATCH(U$4,'3.5.1'!$A:$A,0),MATCH(Summary!$C49,'3.5.1'!$1:$1,0)),"")</f>
        <v/>
      </c>
      <c r="V49" s="202"/>
      <c r="W49" s="202"/>
      <c r="X49" s="202">
        <f>_xlfn.IFNA(INDEX('3.5.1'!$1:$104,MATCH(X$4,'3.5.1'!$A:$A,0),MATCH(Summary!$C49,'3.5.1'!$1:$1,0)),"")</f>
        <v>1339249.189</v>
      </c>
      <c r="Y49" s="202"/>
      <c r="Z49" s="202"/>
      <c r="AA49" s="202" t="str">
        <f>_xlfn.IFNA(INDEX('3.5.1'!$1:$104,MATCH(AA$4,'3.5.1'!$A:$A,0),MATCH(Summary!$C49,'3.5.1'!$1:$1,0)),"")</f>
        <v/>
      </c>
      <c r="AB49" s="202"/>
      <c r="AC49" s="202"/>
      <c r="AD49" s="202" t="str">
        <f>_xlfn.IFNA(INDEX('3.5.1'!$1:$104,MATCH(AD$4,'3.5.1'!$A:$A,0),MATCH(Summary!$C49,'3.5.1'!$1:$1,0)),"")</f>
        <v/>
      </c>
      <c r="AE49" s="202"/>
      <c r="AF49" s="202"/>
      <c r="AG49" s="202">
        <f>_xlfn.IFNA(INDEX('3.5.1'!$1:$104,MATCH(AG$4,'3.5.1'!$A:$A,0),MATCH(Summary!$C49,'3.5.1'!$1:$1,0)),"")</f>
        <v>1372331.133</v>
      </c>
      <c r="AH49" s="202"/>
      <c r="AI49" s="202"/>
      <c r="AJ49" s="202" t="str">
        <f>_xlfn.IFNA(INDEX('3.5.1'!$1:$104,MATCH(AJ$4,'3.5.1'!$A:$A,0),MATCH(Summary!$C49,'3.5.1'!$1:$1,0)),"")</f>
        <v/>
      </c>
      <c r="AK49" s="202"/>
      <c r="AL49" s="202"/>
      <c r="AM49" s="202" t="str">
        <f>_xlfn.IFNA(INDEX('3.5.1'!$1:$104,MATCH(AM$4,'3.5.1'!$A:$A,0),MATCH(Summary!$C49,'3.5.1'!$1:$1,0)),"")</f>
        <v/>
      </c>
      <c r="AN49" s="202"/>
      <c r="AO49" s="202"/>
      <c r="AP49" s="202">
        <f>_xlfn.IFNA(INDEX('3.5.1'!$1:$104,MATCH(AP$4,'3.5.1'!$A:$A,0),MATCH(Summary!$C49,'3.5.1'!$1:$1,0)),"")</f>
        <v>1388210.989</v>
      </c>
      <c r="AQ49" s="202"/>
      <c r="AR49" s="202"/>
      <c r="AS49" s="202" t="str">
        <f>_xlfn.IFNA(INDEX('3.5.1'!$1:$104,MATCH(AS$4,'3.5.1'!$A:$A,0),MATCH(Summary!$C49,'3.5.1'!$1:$1,0)),"")</f>
        <v/>
      </c>
      <c r="AT49" s="202"/>
      <c r="AU49" s="202"/>
      <c r="AV49" s="202" t="str">
        <f>_xlfn.IFNA(INDEX('3.5.1'!$1:$104,MATCH(AV$4,'3.5.1'!$A:$A,0),MATCH(Summary!$C49,'3.5.1'!$1:$1,0)),"")</f>
        <v/>
      </c>
      <c r="AW49" s="202"/>
      <c r="AX49" s="202"/>
      <c r="AY49" s="202">
        <f>_xlfn.IFNA(INDEX('3.5.1'!$1:$104,MATCH(AY$4,'3.5.1'!$A:$A,0),MATCH(Summary!$C49,'3.5.1'!$1:$1,0)),"")</f>
        <v>1445796.326</v>
      </c>
      <c r="AZ49" s="202"/>
      <c r="BA49" s="202"/>
      <c r="BB49" s="202">
        <f>_xlfn.IFNA(INDEX('3.5.1'!$1:$104,MATCH(BB$4,'3.5.1'!$A:$A,0),MATCH(Summary!$C49,'3.5.1'!$1:$1,0)),"")</f>
        <v>1488357.512</v>
      </c>
      <c r="BC49" s="202"/>
      <c r="BD49" s="202"/>
      <c r="BE49" s="202" t="str">
        <f>_xlfn.IFNA(INDEX('3.5.1'!$1:$104,MATCH(BE$4,'3.5.1'!$A:$A,0),MATCH(Summary!$C49,'3.5.1'!$1:$1,0)),"")</f>
        <v/>
      </c>
      <c r="BF49" s="202"/>
      <c r="BG49" s="202"/>
      <c r="BH49" s="202" t="str">
        <f>_xlfn.IFNA(INDEX('3.5.1'!$1:$104,MATCH(BH$4,'3.5.1'!$A:$A,0),MATCH(Summary!$C49,'3.5.1'!$1:$1,0)),"")</f>
        <v/>
      </c>
      <c r="BI49" s="202"/>
      <c r="BJ49" s="202"/>
      <c r="BK49" s="202" t="str">
        <f>_xlfn.IFNA(INDEX('3.5.1'!$1:$104,MATCH(BK$4,'3.5.1'!$A:$A,0),MATCH(Summary!$C49,'3.5.1'!$1:$1,0)),"")</f>
        <v/>
      </c>
    </row>
    <row r="50" s="78" customFormat="1" outlineLevel="1" spans="1:63" ht="16.5" customHeight="1">
      <c r="A50" s="183"/>
      <c r="B50" s="183"/>
      <c r="C50" s="183" t="s">
        <v>138</v>
      </c>
      <c r="D50" s="203"/>
      <c r="E50" s="203"/>
      <c r="F50" s="203" t="s">
        <v>139</v>
      </c>
      <c r="G50" s="205" t="s">
        <v>140</v>
      </c>
      <c r="H50" s="206">
        <f t="shared" si="2"/>
        <v>0.00638485528956141</v>
      </c>
      <c r="I50" s="207" t="str">
        <f t="shared" si="1"/>
        <v/>
      </c>
      <c r="J50" s="208"/>
      <c r="K50" s="208"/>
      <c r="L50" s="208" t="str">
        <f>_xlfn.IFNA(INDEX('3.5.1'!$1:$104,MATCH(L$4,'3.5.1'!$A:$A,0),MATCH(Summary!$C50,'3.5.1'!$1:$1,0)),"")</f>
        <v/>
      </c>
      <c r="M50" s="208"/>
      <c r="N50" s="208"/>
      <c r="O50" s="208">
        <f>_xlfn.IFNA(INDEX('3.5.1'!$1:$104,MATCH(O$4,'3.5.1'!$A:$A,0),MATCH(Summary!$C50,'3.5.1'!$1:$1,0)),"")</f>
        <v>68879.153</v>
      </c>
      <c r="P50" s="208"/>
      <c r="Q50" s="208"/>
      <c r="R50" s="208" t="str">
        <f>_xlfn.IFNA(INDEX('3.5.1'!$1:$104,MATCH(R$4,'3.5.1'!$A:$A,0),MATCH(Summary!$C50,'3.5.1'!$1:$1,0)),"")</f>
        <v/>
      </c>
      <c r="S50" s="208"/>
      <c r="T50" s="208"/>
      <c r="U50" s="208" t="str">
        <f>_xlfn.IFNA(INDEX('3.5.1'!$1:$104,MATCH(U$4,'3.5.1'!$A:$A,0),MATCH(Summary!$C50,'3.5.1'!$1:$1,0)),"")</f>
        <v/>
      </c>
      <c r="V50" s="208"/>
      <c r="W50" s="208"/>
      <c r="X50" s="208">
        <f>_xlfn.IFNA(INDEX('3.5.1'!$1:$104,MATCH(X$4,'3.5.1'!$A:$A,0),MATCH(Summary!$C50,'3.5.1'!$1:$1,0)),"")</f>
        <v>70240.539</v>
      </c>
      <c r="Y50" s="208"/>
      <c r="Z50" s="208"/>
      <c r="AA50" s="208" t="str">
        <f>_xlfn.IFNA(INDEX('3.5.1'!$1:$104,MATCH(AA$4,'3.5.1'!$A:$A,0),MATCH(Summary!$C50,'3.5.1'!$1:$1,0)),"")</f>
        <v/>
      </c>
      <c r="AB50" s="208"/>
      <c r="AC50" s="208"/>
      <c r="AD50" s="208" t="str">
        <f>_xlfn.IFNA(INDEX('3.5.1'!$1:$104,MATCH(AD$4,'3.5.1'!$A:$A,0),MATCH(Summary!$C50,'3.5.1'!$1:$1,0)),"")</f>
        <v/>
      </c>
      <c r="AE50" s="208"/>
      <c r="AF50" s="208"/>
      <c r="AG50" s="208">
        <f>_xlfn.IFNA(INDEX('3.5.1'!$1:$104,MATCH(AG$4,'3.5.1'!$A:$A,0),MATCH(Summary!$C50,'3.5.1'!$1:$1,0)),"")</f>
        <v>71745.791</v>
      </c>
      <c r="AH50" s="208"/>
      <c r="AI50" s="208"/>
      <c r="AJ50" s="208" t="str">
        <f>_xlfn.IFNA(INDEX('3.5.1'!$1:$104,MATCH(AJ$4,'3.5.1'!$A:$A,0),MATCH(Summary!$C50,'3.5.1'!$1:$1,0)),"")</f>
        <v/>
      </c>
      <c r="AK50" s="208"/>
      <c r="AL50" s="208"/>
      <c r="AM50" s="208" t="str">
        <f>_xlfn.IFNA(INDEX('3.5.1'!$1:$104,MATCH(AM$4,'3.5.1'!$A:$A,0),MATCH(Summary!$C50,'3.5.1'!$1:$1,0)),"")</f>
        <v/>
      </c>
      <c r="AN50" s="208"/>
      <c r="AO50" s="208"/>
      <c r="AP50" s="208">
        <f>_xlfn.IFNA(INDEX('3.5.1'!$1:$104,MATCH(AP$4,'3.5.1'!$A:$A,0),MATCH(Summary!$C50,'3.5.1'!$1:$1,0)),"")</f>
        <v>71564.501</v>
      </c>
      <c r="AQ50" s="208"/>
      <c r="AR50" s="208"/>
      <c r="AS50" s="208" t="str">
        <f>_xlfn.IFNA(INDEX('3.5.1'!$1:$104,MATCH(AS$4,'3.5.1'!$A:$A,0),MATCH(Summary!$C50,'3.5.1'!$1:$1,0)),"")</f>
        <v/>
      </c>
      <c r="AT50" s="208"/>
      <c r="AU50" s="208"/>
      <c r="AV50" s="208" t="str">
        <f>_xlfn.IFNA(INDEX('3.5.1'!$1:$104,MATCH(AV$4,'3.5.1'!$A:$A,0),MATCH(Summary!$C50,'3.5.1'!$1:$1,0)),"")</f>
        <v/>
      </c>
      <c r="AW50" s="208"/>
      <c r="AX50" s="208"/>
      <c r="AY50" s="208">
        <f>_xlfn.IFNA(INDEX('3.5.1'!$1:$104,MATCH(AY$4,'3.5.1'!$A:$A,0),MATCH(Summary!$C50,'3.5.1'!$1:$1,0)),"")</f>
        <v>71888.765</v>
      </c>
      <c r="AZ50" s="208"/>
      <c r="BA50" s="208"/>
      <c r="BB50" s="208">
        <f>_xlfn.IFNA(INDEX('3.5.1'!$1:$104,MATCH(BB$4,'3.5.1'!$A:$A,0),MATCH(Summary!$C50,'3.5.1'!$1:$1,0)),"")</f>
        <v>73944.409</v>
      </c>
      <c r="BC50" s="208"/>
      <c r="BD50" s="208"/>
      <c r="BE50" s="208" t="str">
        <f>_xlfn.IFNA(INDEX('3.5.1'!$1:$104,MATCH(BE$4,'3.5.1'!$A:$A,0),MATCH(Summary!$C50,'3.5.1'!$1:$1,0)),"")</f>
        <v/>
      </c>
      <c r="BF50" s="208"/>
      <c r="BG50" s="208"/>
      <c r="BH50" s="208" t="str">
        <f>_xlfn.IFNA(INDEX('3.5.1'!$1:$104,MATCH(BH$4,'3.5.1'!$A:$A,0),MATCH(Summary!$C50,'3.5.1'!$1:$1,0)),"")</f>
        <v/>
      </c>
      <c r="BI50" s="208"/>
      <c r="BJ50" s="208"/>
      <c r="BK50" s="208" t="str">
        <f>_xlfn.IFNA(INDEX('3.5.1'!$1:$104,MATCH(BK$4,'3.5.1'!$A:$A,0),MATCH(Summary!$C50,'3.5.1'!$1:$1,0)),"")</f>
        <v/>
      </c>
    </row>
    <row r="51" s="78" customFormat="1" outlineLevel="1" spans="1:63" ht="16.5" customHeight="1">
      <c r="A51" s="183"/>
      <c r="B51" s="183"/>
      <c r="C51" s="183" t="s">
        <v>141</v>
      </c>
      <c r="D51" s="203"/>
      <c r="E51" s="203"/>
      <c r="F51" s="203" t="s">
        <v>142</v>
      </c>
      <c r="G51" s="205" t="s">
        <v>143</v>
      </c>
      <c r="H51" s="206">
        <f t="shared" si="2"/>
        <v>0.0485049295960417</v>
      </c>
      <c r="I51" s="207" t="str">
        <f t="shared" si="1"/>
        <v/>
      </c>
      <c r="J51" s="208"/>
      <c r="K51" s="208"/>
      <c r="L51" s="208" t="str">
        <f>_xlfn.IFNA(INDEX('3.5.1'!$1:$104,MATCH(L$4,'3.5.1'!$A:$A,0),MATCH(Summary!$C51,'3.5.1'!$1:$1,0)),"")</f>
        <v/>
      </c>
      <c r="M51" s="208"/>
      <c r="N51" s="208"/>
      <c r="O51" s="208">
        <f>_xlfn.IFNA(INDEX('3.5.1'!$1:$104,MATCH(O$4,'3.5.1'!$A:$A,0),MATCH(Summary!$C51,'3.5.1'!$1:$1,0)),"")</f>
        <v>523266.122</v>
      </c>
      <c r="P51" s="208"/>
      <c r="Q51" s="208"/>
      <c r="R51" s="208" t="str">
        <f>_xlfn.IFNA(INDEX('3.5.1'!$1:$104,MATCH(R$4,'3.5.1'!$A:$A,0),MATCH(Summary!$C51,'3.5.1'!$1:$1,0)),"")</f>
        <v/>
      </c>
      <c r="S51" s="208"/>
      <c r="T51" s="208"/>
      <c r="U51" s="208" t="str">
        <f>_xlfn.IFNA(INDEX('3.5.1'!$1:$104,MATCH(U$4,'3.5.1'!$A:$A,0),MATCH(Summary!$C51,'3.5.1'!$1:$1,0)),"")</f>
        <v/>
      </c>
      <c r="V51" s="208"/>
      <c r="W51" s="208"/>
      <c r="X51" s="208">
        <f>_xlfn.IFNA(INDEX('3.5.1'!$1:$104,MATCH(X$4,'3.5.1'!$A:$A,0),MATCH(Summary!$C51,'3.5.1'!$1:$1,0)),"")</f>
        <v>532245.948</v>
      </c>
      <c r="Y51" s="208"/>
      <c r="Z51" s="208"/>
      <c r="AA51" s="208" t="str">
        <f>_xlfn.IFNA(INDEX('3.5.1'!$1:$104,MATCH(AA$4,'3.5.1'!$A:$A,0),MATCH(Summary!$C51,'3.5.1'!$1:$1,0)),"")</f>
        <v/>
      </c>
      <c r="AB51" s="208"/>
      <c r="AC51" s="208"/>
      <c r="AD51" s="208" t="str">
        <f>_xlfn.IFNA(INDEX('3.5.1'!$1:$104,MATCH(AD$4,'3.5.1'!$A:$A,0),MATCH(Summary!$C51,'3.5.1'!$1:$1,0)),"")</f>
        <v/>
      </c>
      <c r="AE51" s="208"/>
      <c r="AF51" s="208"/>
      <c r="AG51" s="208">
        <f>_xlfn.IFNA(INDEX('3.5.1'!$1:$104,MATCH(AG$4,'3.5.1'!$A:$A,0),MATCH(Summary!$C51,'3.5.1'!$1:$1,0)),"")</f>
        <v>548460.044</v>
      </c>
      <c r="AH51" s="208"/>
      <c r="AI51" s="208"/>
      <c r="AJ51" s="208" t="str">
        <f>_xlfn.IFNA(INDEX('3.5.1'!$1:$104,MATCH(AJ$4,'3.5.1'!$A:$A,0),MATCH(Summary!$C51,'3.5.1'!$1:$1,0)),"")</f>
        <v/>
      </c>
      <c r="AK51" s="208"/>
      <c r="AL51" s="208"/>
      <c r="AM51" s="208" t="str">
        <f>_xlfn.IFNA(INDEX('3.5.1'!$1:$104,MATCH(AM$4,'3.5.1'!$A:$A,0),MATCH(Summary!$C51,'3.5.1'!$1:$1,0)),"")</f>
        <v/>
      </c>
      <c r="AN51" s="208"/>
      <c r="AO51" s="208"/>
      <c r="AP51" s="208">
        <f>_xlfn.IFNA(INDEX('3.5.1'!$1:$104,MATCH(AP$4,'3.5.1'!$A:$A,0),MATCH(Summary!$C51,'3.5.1'!$1:$1,0)),"")</f>
        <v>568713.389</v>
      </c>
      <c r="AQ51" s="208"/>
      <c r="AR51" s="208"/>
      <c r="AS51" s="208" t="str">
        <f>_xlfn.IFNA(INDEX('3.5.1'!$1:$104,MATCH(AS$4,'3.5.1'!$A:$A,0),MATCH(Summary!$C51,'3.5.1'!$1:$1,0)),"")</f>
        <v/>
      </c>
      <c r="AT51" s="208"/>
      <c r="AU51" s="208"/>
      <c r="AV51" s="208" t="str">
        <f>_xlfn.IFNA(INDEX('3.5.1'!$1:$104,MATCH(AV$4,'3.5.1'!$A:$A,0),MATCH(Summary!$C51,'3.5.1'!$1:$1,0)),"")</f>
        <v/>
      </c>
      <c r="AW51" s="208"/>
      <c r="AX51" s="208"/>
      <c r="AY51" s="208">
        <f>_xlfn.IFNA(INDEX('3.5.1'!$1:$104,MATCH(AY$4,'3.5.1'!$A:$A,0),MATCH(Summary!$C51,'3.5.1'!$1:$1,0)),"")</f>
        <v>602360.451</v>
      </c>
      <c r="AZ51" s="208"/>
      <c r="BA51" s="208"/>
      <c r="BB51" s="208">
        <f>_xlfn.IFNA(INDEX('3.5.1'!$1:$104,MATCH(BB$4,'3.5.1'!$A:$A,0),MATCH(Summary!$C51,'3.5.1'!$1:$1,0)),"")</f>
        <v>633676.851</v>
      </c>
      <c r="BC51" s="208"/>
      <c r="BD51" s="208"/>
      <c r="BE51" s="208" t="str">
        <f>_xlfn.IFNA(INDEX('3.5.1'!$1:$104,MATCH(BE$4,'3.5.1'!$A:$A,0),MATCH(Summary!$C51,'3.5.1'!$1:$1,0)),"")</f>
        <v/>
      </c>
      <c r="BF51" s="208"/>
      <c r="BG51" s="208"/>
      <c r="BH51" s="208" t="str">
        <f>_xlfn.IFNA(INDEX('3.5.1'!$1:$104,MATCH(BH$4,'3.5.1'!$A:$A,0),MATCH(Summary!$C51,'3.5.1'!$1:$1,0)),"")</f>
        <v/>
      </c>
      <c r="BI51" s="208"/>
      <c r="BJ51" s="208"/>
      <c r="BK51" s="208" t="str">
        <f>_xlfn.IFNA(INDEX('3.5.1'!$1:$104,MATCH(BK$4,'3.5.1'!$A:$A,0),MATCH(Summary!$C51,'3.5.1'!$1:$1,0)),"")</f>
        <v/>
      </c>
    </row>
    <row r="52" s="78" customFormat="1" outlineLevel="1" spans="1:63" ht="16.5" customHeight="1">
      <c r="A52" s="183"/>
      <c r="B52" s="183"/>
      <c r="C52" s="183" t="s">
        <v>144</v>
      </c>
      <c r="D52" s="203"/>
      <c r="E52" s="203"/>
      <c r="F52" s="203" t="s">
        <v>145</v>
      </c>
      <c r="G52" s="205" t="s">
        <v>146</v>
      </c>
      <c r="H52" s="206">
        <f t="shared" si="2"/>
        <v>0.0480068971582583</v>
      </c>
      <c r="I52" s="207" t="str">
        <f t="shared" si="1"/>
        <v/>
      </c>
      <c r="J52" s="208"/>
      <c r="K52" s="208"/>
      <c r="L52" s="208" t="str">
        <f>_xlfn.IFNA(INDEX('3.5.1'!$1:$104,MATCH(L$4,'3.5.1'!$A:$A,0),MATCH(Summary!$C52,'3.5.1'!$1:$1,0)),"")</f>
        <v/>
      </c>
      <c r="M52" s="208"/>
      <c r="N52" s="208"/>
      <c r="O52" s="208">
        <f>_xlfn.IFNA(INDEX('3.5.1'!$1:$104,MATCH(O$4,'3.5.1'!$A:$A,0),MATCH(Summary!$C52,'3.5.1'!$1:$1,0)),"")</f>
        <v>517893.4</v>
      </c>
      <c r="P52" s="208"/>
      <c r="Q52" s="208"/>
      <c r="R52" s="208" t="str">
        <f>_xlfn.IFNA(INDEX('3.5.1'!$1:$104,MATCH(R$4,'3.5.1'!$A:$A,0),MATCH(Summary!$C52,'3.5.1'!$1:$1,0)),"")</f>
        <v/>
      </c>
      <c r="S52" s="208"/>
      <c r="T52" s="208"/>
      <c r="U52" s="208" t="str">
        <f>_xlfn.IFNA(INDEX('3.5.1'!$1:$104,MATCH(U$4,'3.5.1'!$A:$A,0),MATCH(Summary!$C52,'3.5.1'!$1:$1,0)),"")</f>
        <v/>
      </c>
      <c r="V52" s="208"/>
      <c r="W52" s="208"/>
      <c r="X52" s="208">
        <f>_xlfn.IFNA(INDEX('3.5.1'!$1:$104,MATCH(X$4,'3.5.1'!$A:$A,0),MATCH(Summary!$C52,'3.5.1'!$1:$1,0)),"")</f>
        <v>528207.436</v>
      </c>
      <c r="Y52" s="208"/>
      <c r="Z52" s="208"/>
      <c r="AA52" s="208" t="str">
        <f>_xlfn.IFNA(INDEX('3.5.1'!$1:$104,MATCH(AA$4,'3.5.1'!$A:$A,0),MATCH(Summary!$C52,'3.5.1'!$1:$1,0)),"")</f>
        <v/>
      </c>
      <c r="AB52" s="208"/>
      <c r="AC52" s="208"/>
      <c r="AD52" s="208" t="str">
        <f>_xlfn.IFNA(INDEX('3.5.1'!$1:$104,MATCH(AD$4,'3.5.1'!$A:$A,0),MATCH(Summary!$C52,'3.5.1'!$1:$1,0)),"")</f>
        <v/>
      </c>
      <c r="AE52" s="208"/>
      <c r="AF52" s="208"/>
      <c r="AG52" s="208">
        <f>_xlfn.IFNA(INDEX('3.5.1'!$1:$104,MATCH(AG$4,'3.5.1'!$A:$A,0),MATCH(Summary!$C52,'3.5.1'!$1:$1,0)),"")</f>
        <v>539089.664</v>
      </c>
      <c r="AH52" s="208"/>
      <c r="AI52" s="208"/>
      <c r="AJ52" s="208" t="str">
        <f>_xlfn.IFNA(INDEX('3.5.1'!$1:$104,MATCH(AJ$4,'3.5.1'!$A:$A,0),MATCH(Summary!$C52,'3.5.1'!$1:$1,0)),"")</f>
        <v/>
      </c>
      <c r="AK52" s="208"/>
      <c r="AL52" s="208"/>
      <c r="AM52" s="208" t="str">
        <f>_xlfn.IFNA(INDEX('3.5.1'!$1:$104,MATCH(AM$4,'3.5.1'!$A:$A,0),MATCH(Summary!$C52,'3.5.1'!$1:$1,0)),"")</f>
        <v/>
      </c>
      <c r="AN52" s="208"/>
      <c r="AO52" s="208"/>
      <c r="AP52" s="208">
        <f>_xlfn.IFNA(INDEX('3.5.1'!$1:$104,MATCH(AP$4,'3.5.1'!$A:$A,0),MATCH(Summary!$C52,'3.5.1'!$1:$1,0)),"")</f>
        <v>536222.496</v>
      </c>
      <c r="AQ52" s="208"/>
      <c r="AR52" s="208"/>
      <c r="AS52" s="208" t="str">
        <f>_xlfn.IFNA(INDEX('3.5.1'!$1:$104,MATCH(AS$4,'3.5.1'!$A:$A,0),MATCH(Summary!$C52,'3.5.1'!$1:$1,0)),"")</f>
        <v/>
      </c>
      <c r="AT52" s="208"/>
      <c r="AU52" s="208"/>
      <c r="AV52" s="208" t="str">
        <f>_xlfn.IFNA(INDEX('3.5.1'!$1:$104,MATCH(AV$4,'3.5.1'!$A:$A,0),MATCH(Summary!$C52,'3.5.1'!$1:$1,0)),"")</f>
        <v/>
      </c>
      <c r="AW52" s="208"/>
      <c r="AX52" s="208"/>
      <c r="AY52" s="208">
        <f>_xlfn.IFNA(INDEX('3.5.1'!$1:$104,MATCH(AY$4,'3.5.1'!$A:$A,0),MATCH(Summary!$C52,'3.5.1'!$1:$1,0)),"")</f>
        <v>550029.988</v>
      </c>
      <c r="AZ52" s="208"/>
      <c r="BA52" s="208"/>
      <c r="BB52" s="208">
        <f>_xlfn.IFNA(INDEX('3.5.1'!$1:$104,MATCH(BB$4,'3.5.1'!$A:$A,0),MATCH(Summary!$C52,'3.5.1'!$1:$1,0)),"")</f>
        <v>560687.672</v>
      </c>
      <c r="BC52" s="208"/>
      <c r="BD52" s="208"/>
      <c r="BE52" s="208" t="str">
        <f>_xlfn.IFNA(INDEX('3.5.1'!$1:$104,MATCH(BE$4,'3.5.1'!$A:$A,0),MATCH(Summary!$C52,'3.5.1'!$1:$1,0)),"")</f>
        <v/>
      </c>
      <c r="BF52" s="208"/>
      <c r="BG52" s="208"/>
      <c r="BH52" s="208" t="str">
        <f>_xlfn.IFNA(INDEX('3.5.1'!$1:$104,MATCH(BH$4,'3.5.1'!$A:$A,0),MATCH(Summary!$C52,'3.5.1'!$1:$1,0)),"")</f>
        <v/>
      </c>
      <c r="BI52" s="208"/>
      <c r="BJ52" s="208"/>
      <c r="BK52" s="208" t="str">
        <f>_xlfn.IFNA(INDEX('3.5.1'!$1:$104,MATCH(BK$4,'3.5.1'!$A:$A,0),MATCH(Summary!$C52,'3.5.1'!$1:$1,0)),"")</f>
        <v/>
      </c>
    </row>
    <row r="53" s="78" customFormat="1" outlineLevel="1" spans="1:63" ht="16.5" customHeight="1">
      <c r="A53" s="183"/>
      <c r="B53" s="183"/>
      <c r="C53" s="183" t="s">
        <v>147</v>
      </c>
      <c r="D53" s="203"/>
      <c r="E53" s="203"/>
      <c r="F53" s="203" t="s">
        <v>148</v>
      </c>
      <c r="G53" s="205" t="s">
        <v>149</v>
      </c>
      <c r="H53" s="206">
        <f t="shared" si="2"/>
        <v>0.018896657368799</v>
      </c>
      <c r="I53" s="207" t="str">
        <f t="shared" si="1"/>
        <v/>
      </c>
      <c r="J53" s="208"/>
      <c r="K53" s="208"/>
      <c r="L53" s="208" t="str">
        <f>_xlfn.IFNA(INDEX('3.5.1'!$1:$104,MATCH(L$4,'3.5.1'!$A:$A,0),MATCH(Summary!$C53,'3.5.1'!$1:$1,0)),"")</f>
        <v/>
      </c>
      <c r="M53" s="208"/>
      <c r="N53" s="208"/>
      <c r="O53" s="208">
        <f>_xlfn.IFNA(INDEX('3.5.1'!$1:$104,MATCH(O$4,'3.5.1'!$A:$A,0),MATCH(Summary!$C53,'3.5.1'!$1:$1,0)),"")</f>
        <v>203855.169</v>
      </c>
      <c r="P53" s="208"/>
      <c r="Q53" s="208"/>
      <c r="R53" s="208" t="str">
        <f>_xlfn.IFNA(INDEX('3.5.1'!$1:$104,MATCH(R$4,'3.5.1'!$A:$A,0),MATCH(Summary!$C53,'3.5.1'!$1:$1,0)),"")</f>
        <v/>
      </c>
      <c r="S53" s="208"/>
      <c r="T53" s="208"/>
      <c r="U53" s="208" t="str">
        <f>_xlfn.IFNA(INDEX('3.5.1'!$1:$104,MATCH(U$4,'3.5.1'!$A:$A,0),MATCH(Summary!$C53,'3.5.1'!$1:$1,0)),"")</f>
        <v/>
      </c>
      <c r="V53" s="208"/>
      <c r="W53" s="208"/>
      <c r="X53" s="208">
        <f>_xlfn.IFNA(INDEX('3.5.1'!$1:$104,MATCH(X$4,'3.5.1'!$A:$A,0),MATCH(Summary!$C53,'3.5.1'!$1:$1,0)),"")</f>
        <v>208555.266</v>
      </c>
      <c r="Y53" s="208"/>
      <c r="Z53" s="208"/>
      <c r="AA53" s="208" t="str">
        <f>_xlfn.IFNA(INDEX('3.5.1'!$1:$104,MATCH(AA$4,'3.5.1'!$A:$A,0),MATCH(Summary!$C53,'3.5.1'!$1:$1,0)),"")</f>
        <v/>
      </c>
      <c r="AB53" s="208"/>
      <c r="AC53" s="208"/>
      <c r="AD53" s="208" t="str">
        <f>_xlfn.IFNA(INDEX('3.5.1'!$1:$104,MATCH(AD$4,'3.5.1'!$A:$A,0),MATCH(Summary!$C53,'3.5.1'!$1:$1,0)),"")</f>
        <v/>
      </c>
      <c r="AE53" s="208"/>
      <c r="AF53" s="208"/>
      <c r="AG53" s="208">
        <f>_xlfn.IFNA(INDEX('3.5.1'!$1:$104,MATCH(AG$4,'3.5.1'!$A:$A,0),MATCH(Summary!$C53,'3.5.1'!$1:$1,0)),"")</f>
        <v>213035.634</v>
      </c>
      <c r="AH53" s="208"/>
      <c r="AI53" s="208"/>
      <c r="AJ53" s="208" t="str">
        <f>_xlfn.IFNA(INDEX('3.5.1'!$1:$104,MATCH(AJ$4,'3.5.1'!$A:$A,0),MATCH(Summary!$C53,'3.5.1'!$1:$1,0)),"")</f>
        <v/>
      </c>
      <c r="AK53" s="208"/>
      <c r="AL53" s="208"/>
      <c r="AM53" s="208" t="str">
        <f>_xlfn.IFNA(INDEX('3.5.1'!$1:$104,MATCH(AM$4,'3.5.1'!$A:$A,0),MATCH(Summary!$C53,'3.5.1'!$1:$1,0)),"")</f>
        <v/>
      </c>
      <c r="AN53" s="208"/>
      <c r="AO53" s="208"/>
      <c r="AP53" s="208">
        <f>_xlfn.IFNA(INDEX('3.5.1'!$1:$104,MATCH(AP$4,'3.5.1'!$A:$A,0),MATCH(Summary!$C53,'3.5.1'!$1:$1,0)),"")</f>
        <v>211710.603</v>
      </c>
      <c r="AQ53" s="208"/>
      <c r="AR53" s="208"/>
      <c r="AS53" s="208" t="str">
        <f>_xlfn.IFNA(INDEX('3.5.1'!$1:$104,MATCH(AS$4,'3.5.1'!$A:$A,0),MATCH(Summary!$C53,'3.5.1'!$1:$1,0)),"")</f>
        <v/>
      </c>
      <c r="AT53" s="208"/>
      <c r="AU53" s="208"/>
      <c r="AV53" s="208" t="str">
        <f>_xlfn.IFNA(INDEX('3.5.1'!$1:$104,MATCH(AV$4,'3.5.1'!$A:$A,0),MATCH(Summary!$C53,'3.5.1'!$1:$1,0)),"")</f>
        <v/>
      </c>
      <c r="AW53" s="208"/>
      <c r="AX53" s="208"/>
      <c r="AY53" s="208">
        <f>_xlfn.IFNA(INDEX('3.5.1'!$1:$104,MATCH(AY$4,'3.5.1'!$A:$A,0),MATCH(Summary!$C53,'3.5.1'!$1:$1,0)),"")</f>
        <v>221517.122</v>
      </c>
      <c r="AZ53" s="208"/>
      <c r="BA53" s="208"/>
      <c r="BB53" s="208">
        <f>_xlfn.IFNA(INDEX('3.5.1'!$1:$104,MATCH(BB$4,'3.5.1'!$A:$A,0),MATCH(Summary!$C53,'3.5.1'!$1:$1,0)),"")</f>
        <v>220048.58</v>
      </c>
      <c r="BC53" s="208"/>
      <c r="BD53" s="208"/>
      <c r="BE53" s="208" t="str">
        <f>_xlfn.IFNA(INDEX('3.5.1'!$1:$104,MATCH(BE$4,'3.5.1'!$A:$A,0),MATCH(Summary!$C53,'3.5.1'!$1:$1,0)),"")</f>
        <v/>
      </c>
      <c r="BF53" s="208"/>
      <c r="BG53" s="208"/>
      <c r="BH53" s="208" t="str">
        <f>_xlfn.IFNA(INDEX('3.5.1'!$1:$104,MATCH(BH$4,'3.5.1'!$A:$A,0),MATCH(Summary!$C53,'3.5.1'!$1:$1,0)),"")</f>
        <v/>
      </c>
      <c r="BI53" s="208"/>
      <c r="BJ53" s="208"/>
      <c r="BK53" s="208" t="str">
        <f>_xlfn.IFNA(INDEX('3.5.1'!$1:$104,MATCH(BK$4,'3.5.1'!$A:$A,0),MATCH(Summary!$C53,'3.5.1'!$1:$1,0)),"")</f>
        <v/>
      </c>
    </row>
    <row r="54" s="78" customFormat="1" outlineLevel="1" spans="1:63" ht="16.5" customHeight="1">
      <c r="A54" s="183"/>
      <c r="B54" s="183"/>
      <c r="C54" s="183" t="s">
        <v>150</v>
      </c>
      <c r="D54" s="203"/>
      <c r="E54" s="203"/>
      <c r="F54" s="218" t="s">
        <v>113</v>
      </c>
      <c r="G54" s="219" t="s">
        <v>114</v>
      </c>
      <c r="H54" s="206">
        <f t="shared" si="2"/>
        <v>0.0066527514647891</v>
      </c>
      <c r="I54" s="207" t="str">
        <f t="shared" si="1"/>
        <v/>
      </c>
      <c r="J54" s="208"/>
      <c r="K54" s="208"/>
      <c r="L54" s="208" t="str">
        <f>_xlfn.IFNA(INDEX('3.5.1'!$1:$104,MATCH(L$4,'3.5.1'!$A:$A,0),MATCH(Summary!$C54,'3.5.1'!$1:$1,0)),"")</f>
        <v/>
      </c>
      <c r="M54" s="208"/>
      <c r="N54" s="208"/>
      <c r="O54" s="208">
        <f>_xlfn.IFNA(INDEX('3.5.1'!$1:$104,MATCH(O$4,'3.5.1'!$A:$A,0),MATCH(Summary!$C54,'3.5.1'!$1:$1,0)),"")</f>
        <v>71769.189</v>
      </c>
      <c r="P54" s="208"/>
      <c r="Q54" s="208"/>
      <c r="R54" s="208" t="str">
        <f>_xlfn.IFNA(INDEX('3.5.1'!$1:$104,MATCH(R$4,'3.5.1'!$A:$A,0),MATCH(Summary!$C54,'3.5.1'!$1:$1,0)),"")</f>
        <v/>
      </c>
      <c r="S54" s="208"/>
      <c r="T54" s="208"/>
      <c r="U54" s="208" t="str">
        <f>_xlfn.IFNA(INDEX('3.5.1'!$1:$104,MATCH(U$4,'3.5.1'!$A:$A,0),MATCH(Summary!$C54,'3.5.1'!$1:$1,0)),"")</f>
        <v/>
      </c>
      <c r="V54" s="208"/>
      <c r="W54" s="208"/>
      <c r="X54" s="208">
        <f>_xlfn.IFNA(INDEX('3.5.1'!$1:$104,MATCH(X$4,'3.5.1'!$A:$A,0),MATCH(Summary!$C54,'3.5.1'!$1:$1,0)),"")</f>
        <v>65883.52</v>
      </c>
      <c r="Y54" s="208"/>
      <c r="Z54" s="208"/>
      <c r="AA54" s="208" t="str">
        <f>_xlfn.IFNA(INDEX('3.5.1'!$1:$104,MATCH(AA$4,'3.5.1'!$A:$A,0),MATCH(Summary!$C54,'3.5.1'!$1:$1,0)),"")</f>
        <v/>
      </c>
      <c r="AB54" s="208"/>
      <c r="AC54" s="208"/>
      <c r="AD54" s="208" t="str">
        <f>_xlfn.IFNA(INDEX('3.5.1'!$1:$104,MATCH(AD$4,'3.5.1'!$A:$A,0),MATCH(Summary!$C54,'3.5.1'!$1:$1,0)),"")</f>
        <v/>
      </c>
      <c r="AE54" s="208"/>
      <c r="AF54" s="208"/>
      <c r="AG54" s="208">
        <f>_xlfn.IFNA(INDEX('3.5.1'!$1:$104,MATCH(AG$4,'3.5.1'!$A:$A,0),MATCH(Summary!$C54,'3.5.1'!$1:$1,0)),"")</f>
        <v>65317.624</v>
      </c>
      <c r="AH54" s="208"/>
      <c r="AI54" s="208"/>
      <c r="AJ54" s="208" t="str">
        <f>_xlfn.IFNA(INDEX('3.5.1'!$1:$104,MATCH(AJ$4,'3.5.1'!$A:$A,0),MATCH(Summary!$C54,'3.5.1'!$1:$1,0)),"")</f>
        <v/>
      </c>
      <c r="AK54" s="208"/>
      <c r="AL54" s="208"/>
      <c r="AM54" s="208" t="str">
        <f>_xlfn.IFNA(INDEX('3.5.1'!$1:$104,MATCH(AM$4,'3.5.1'!$A:$A,0),MATCH(Summary!$C54,'3.5.1'!$1:$1,0)),"")</f>
        <v/>
      </c>
      <c r="AN54" s="208"/>
      <c r="AO54" s="208"/>
      <c r="AP54" s="208">
        <f>_xlfn.IFNA(INDEX('3.5.1'!$1:$104,MATCH(AP$4,'3.5.1'!$A:$A,0),MATCH(Summary!$C54,'3.5.1'!$1:$1,0)),"")</f>
        <v>70752.97</v>
      </c>
      <c r="AQ54" s="208"/>
      <c r="AR54" s="208"/>
      <c r="AS54" s="208" t="str">
        <f>_xlfn.IFNA(INDEX('3.5.1'!$1:$104,MATCH(AS$4,'3.5.1'!$A:$A,0),MATCH(Summary!$C54,'3.5.1'!$1:$1,0)),"")</f>
        <v/>
      </c>
      <c r="AT54" s="208"/>
      <c r="AU54" s="208"/>
      <c r="AV54" s="208" t="str">
        <f>_xlfn.IFNA(INDEX('3.5.1'!$1:$104,MATCH(AV$4,'3.5.1'!$A:$A,0),MATCH(Summary!$C54,'3.5.1'!$1:$1,0)),"")</f>
        <v/>
      </c>
      <c r="AW54" s="208"/>
      <c r="AX54" s="208"/>
      <c r="AY54" s="208">
        <f>_xlfn.IFNA(INDEX('3.5.1'!$1:$104,MATCH(AY$4,'3.5.1'!$A:$A,0),MATCH(Summary!$C54,'3.5.1'!$1:$1,0)),"")</f>
        <v>61442.079</v>
      </c>
      <c r="AZ54" s="208"/>
      <c r="BA54" s="208"/>
      <c r="BB54" s="208">
        <f>_xlfn.IFNA(INDEX('3.5.1'!$1:$104,MATCH(BB$4,'3.5.1'!$A:$A,0),MATCH(Summary!$C54,'3.5.1'!$1:$1,0)),"")</f>
        <v>64124.581</v>
      </c>
      <c r="BC54" s="208"/>
      <c r="BD54" s="208"/>
      <c r="BE54" s="208" t="str">
        <f>_xlfn.IFNA(INDEX('3.5.1'!$1:$104,MATCH(BE$4,'3.5.1'!$A:$A,0),MATCH(Summary!$C54,'3.5.1'!$1:$1,0)),"")</f>
        <v/>
      </c>
      <c r="BF54" s="208"/>
      <c r="BG54" s="208"/>
      <c r="BH54" s="208" t="str">
        <f>_xlfn.IFNA(INDEX('3.5.1'!$1:$104,MATCH(BH$4,'3.5.1'!$A:$A,0),MATCH(Summary!$C54,'3.5.1'!$1:$1,0)),"")</f>
        <v/>
      </c>
      <c r="BI54" s="208"/>
      <c r="BJ54" s="208"/>
      <c r="BK54" s="208" t="str">
        <f>_xlfn.IFNA(INDEX('3.5.1'!$1:$104,MATCH(BK$4,'3.5.1'!$A:$A,0),MATCH(Summary!$C54,'3.5.1'!$1:$1,0)),"")</f>
        <v/>
      </c>
    </row>
    <row r="55" s="79" customFormat="1" spans="1:63" ht="16.5" customHeight="1">
      <c r="A55" s="183"/>
      <c r="B55" s="183"/>
      <c r="C55" s="183" t="s">
        <v>151</v>
      </c>
      <c r="D55" s="214"/>
      <c r="E55" s="214"/>
      <c r="F55" s="214" t="s">
        <v>152</v>
      </c>
      <c r="G55" s="214" t="s">
        <v>153</v>
      </c>
      <c r="H55" s="215">
        <f t="shared" si="2"/>
        <v>0.0289269414843227</v>
      </c>
      <c r="I55" s="216" t="str">
        <f t="shared" si="1"/>
        <v/>
      </c>
      <c r="J55" s="217"/>
      <c r="K55" s="217"/>
      <c r="L55" s="217" t="str">
        <f>_xlfn.IFNA(INDEX('3.5.1'!$1:$104,MATCH(L$4,'3.5.1'!$A:$A,0),MATCH(Summary!$C55,'3.5.1'!$1:$1,0)),"")</f>
        <v/>
      </c>
      <c r="M55" s="217"/>
      <c r="N55" s="217"/>
      <c r="O55" s="217">
        <f>_xlfn.IFNA(INDEX('3.5.1'!$1:$104,MATCH(O$4,'3.5.1'!$A:$A,0),MATCH(Summary!$C55,'3.5.1'!$1:$1,0)),"")</f>
        <v>312060.828</v>
      </c>
      <c r="P55" s="217"/>
      <c r="Q55" s="217"/>
      <c r="R55" s="217" t="str">
        <f>_xlfn.IFNA(INDEX('3.5.1'!$1:$104,MATCH(R$4,'3.5.1'!$A:$A,0),MATCH(Summary!$C55,'3.5.1'!$1:$1,0)),"")</f>
        <v/>
      </c>
      <c r="S55" s="217"/>
      <c r="T55" s="217"/>
      <c r="U55" s="217" t="str">
        <f>_xlfn.IFNA(INDEX('3.5.1'!$1:$104,MATCH(U$4,'3.5.1'!$A:$A,0),MATCH(Summary!$C55,'3.5.1'!$1:$1,0)),"")</f>
        <v/>
      </c>
      <c r="V55" s="217"/>
      <c r="W55" s="217"/>
      <c r="X55" s="217">
        <f>_xlfn.IFNA(INDEX('3.5.1'!$1:$104,MATCH(X$4,'3.5.1'!$A:$A,0),MATCH(Summary!$C55,'3.5.1'!$1:$1,0)),"")</f>
        <v>284551.075</v>
      </c>
      <c r="Y55" s="217"/>
      <c r="Z55" s="217"/>
      <c r="AA55" s="217" t="str">
        <f>_xlfn.IFNA(INDEX('3.5.1'!$1:$104,MATCH(AA$4,'3.5.1'!$A:$A,0),MATCH(Summary!$C55,'3.5.1'!$1:$1,0)),"")</f>
        <v/>
      </c>
      <c r="AB55" s="217"/>
      <c r="AC55" s="217"/>
      <c r="AD55" s="217" t="str">
        <f>_xlfn.IFNA(INDEX('3.5.1'!$1:$104,MATCH(AD$4,'3.5.1'!$A:$A,0),MATCH(Summary!$C55,'3.5.1'!$1:$1,0)),"")</f>
        <v/>
      </c>
      <c r="AE55" s="217"/>
      <c r="AF55" s="217"/>
      <c r="AG55" s="217">
        <f>_xlfn.IFNA(INDEX('3.5.1'!$1:$104,MATCH(AG$4,'3.5.1'!$A:$A,0),MATCH(Summary!$C55,'3.5.1'!$1:$1,0)),"")</f>
        <v>278886.353</v>
      </c>
      <c r="AH55" s="217"/>
      <c r="AI55" s="217"/>
      <c r="AJ55" s="217" t="str">
        <f>_xlfn.IFNA(INDEX('3.5.1'!$1:$104,MATCH(AJ$4,'3.5.1'!$A:$A,0),MATCH(Summary!$C55,'3.5.1'!$1:$1,0)),"")</f>
        <v/>
      </c>
      <c r="AK55" s="217"/>
      <c r="AL55" s="217"/>
      <c r="AM55" s="217" t="str">
        <f>_xlfn.IFNA(INDEX('3.5.1'!$1:$104,MATCH(AM$4,'3.5.1'!$A:$A,0),MATCH(Summary!$C55,'3.5.1'!$1:$1,0)),"")</f>
        <v/>
      </c>
      <c r="AN55" s="217"/>
      <c r="AO55" s="217"/>
      <c r="AP55" s="217">
        <f>_xlfn.IFNA(INDEX('3.5.1'!$1:$104,MATCH(AP$4,'3.5.1'!$A:$A,0),MATCH(Summary!$C55,'3.5.1'!$1:$1,0)),"")</f>
        <v>282430.925</v>
      </c>
      <c r="AQ55" s="217"/>
      <c r="AR55" s="217"/>
      <c r="AS55" s="217" t="str">
        <f>_xlfn.IFNA(INDEX('3.5.1'!$1:$104,MATCH(AS$4,'3.5.1'!$A:$A,0),MATCH(Summary!$C55,'3.5.1'!$1:$1,0)),"")</f>
        <v/>
      </c>
      <c r="AT55" s="217"/>
      <c r="AU55" s="217"/>
      <c r="AV55" s="217" t="str">
        <f>_xlfn.IFNA(INDEX('3.5.1'!$1:$104,MATCH(AV$4,'3.5.1'!$A:$A,0),MATCH(Summary!$C55,'3.5.1'!$1:$1,0)),"")</f>
        <v/>
      </c>
      <c r="AW55" s="217"/>
      <c r="AX55" s="217"/>
      <c r="AY55" s="217">
        <f>_xlfn.IFNA(INDEX('3.5.1'!$1:$104,MATCH(AY$4,'3.5.1'!$A:$A,0),MATCH(Summary!$C55,'3.5.1'!$1:$1,0)),"")</f>
        <v>293650.494</v>
      </c>
      <c r="AZ55" s="217"/>
      <c r="BA55" s="217"/>
      <c r="BB55" s="217">
        <f>_xlfn.IFNA(INDEX('3.5.1'!$1:$104,MATCH(BB$4,'3.5.1'!$A:$A,0),MATCH(Summary!$C55,'3.5.1'!$1:$1,0)),"")</f>
        <v>292621.661</v>
      </c>
      <c r="BC55" s="217"/>
      <c r="BD55" s="217"/>
      <c r="BE55" s="217" t="str">
        <f>_xlfn.IFNA(INDEX('3.5.1'!$1:$104,MATCH(BE$4,'3.5.1'!$A:$A,0),MATCH(Summary!$C55,'3.5.1'!$1:$1,0)),"")</f>
        <v/>
      </c>
      <c r="BF55" s="217"/>
      <c r="BG55" s="217"/>
      <c r="BH55" s="217" t="str">
        <f>_xlfn.IFNA(INDEX('3.5.1'!$1:$104,MATCH(BH$4,'3.5.1'!$A:$A,0),MATCH(Summary!$C55,'3.5.1'!$1:$1,0)),"")</f>
        <v/>
      </c>
      <c r="BI55" s="217"/>
      <c r="BJ55" s="217"/>
      <c r="BK55" s="217" t="str">
        <f>_xlfn.IFNA(INDEX('3.5.1'!$1:$104,MATCH(BK$4,'3.5.1'!$A:$A,0),MATCH(Summary!$C55,'3.5.1'!$1:$1,0)),"")</f>
        <v/>
      </c>
    </row>
    <row r="56" s="78" customFormat="1" outlineLevel="1" spans="1:63" ht="16.5" customHeight="1">
      <c r="A56" s="183"/>
      <c r="B56" s="183"/>
      <c r="C56" s="183" t="s">
        <v>154</v>
      </c>
      <c r="D56" s="220"/>
      <c r="E56" s="220"/>
      <c r="F56" s="220" t="s">
        <v>155</v>
      </c>
      <c r="G56" s="220" t="s">
        <v>156</v>
      </c>
      <c r="H56" s="221">
        <f t="shared" si="2"/>
        <v>0</v>
      </c>
      <c r="I56" s="222" t="str">
        <f t="shared" si="1"/>
        <v/>
      </c>
      <c r="J56" s="223"/>
      <c r="K56" s="223"/>
      <c r="L56" s="223" t="str">
        <f>_xlfn.IFNA(INDEX('3.5.1'!$1:$104,MATCH(L$4,'3.5.1'!$A:$A,0),MATCH(Summary!$C56,'3.5.1'!$1:$1,0)),"")</f>
        <v/>
      </c>
      <c r="M56" s="223"/>
      <c r="N56" s="223"/>
      <c r="O56" s="223">
        <f>_xlfn.IFNA(INDEX('3.5.1'!$1:$104,MATCH(O$4,'3.5.1'!$A:$A,0),MATCH(Summary!$C56,'3.5.1'!$1:$1,0)),"")</f>
        <v>0</v>
      </c>
      <c r="P56" s="223"/>
      <c r="Q56" s="223"/>
      <c r="R56" s="223" t="str">
        <f>_xlfn.IFNA(INDEX('3.5.1'!$1:$104,MATCH(R$4,'3.5.1'!$A:$A,0),MATCH(Summary!$C56,'3.5.1'!$1:$1,0)),"")</f>
        <v/>
      </c>
      <c r="S56" s="223"/>
      <c r="T56" s="223"/>
      <c r="U56" s="223" t="str">
        <f>_xlfn.IFNA(INDEX('3.5.1'!$1:$104,MATCH(U$4,'3.5.1'!$A:$A,0),MATCH(Summary!$C56,'3.5.1'!$1:$1,0)),"")</f>
        <v/>
      </c>
      <c r="V56" s="223"/>
      <c r="W56" s="223"/>
      <c r="X56" s="223">
        <f>_xlfn.IFNA(INDEX('3.5.1'!$1:$104,MATCH(X$4,'3.5.1'!$A:$A,0),MATCH(Summary!$C56,'3.5.1'!$1:$1,0)),"")</f>
        <v>0</v>
      </c>
      <c r="Y56" s="223"/>
      <c r="Z56" s="223"/>
      <c r="AA56" s="223" t="str">
        <f>_xlfn.IFNA(INDEX('3.5.1'!$1:$104,MATCH(AA$4,'3.5.1'!$A:$A,0),MATCH(Summary!$C56,'3.5.1'!$1:$1,0)),"")</f>
        <v/>
      </c>
      <c r="AB56" s="223"/>
      <c r="AC56" s="223"/>
      <c r="AD56" s="223" t="str">
        <f>_xlfn.IFNA(INDEX('3.5.1'!$1:$104,MATCH(AD$4,'3.5.1'!$A:$A,0),MATCH(Summary!$C56,'3.5.1'!$1:$1,0)),"")</f>
        <v/>
      </c>
      <c r="AE56" s="223"/>
      <c r="AF56" s="223"/>
      <c r="AG56" s="223">
        <f>_xlfn.IFNA(INDEX('3.5.1'!$1:$104,MATCH(AG$4,'3.5.1'!$A:$A,0),MATCH(Summary!$C56,'3.5.1'!$1:$1,0)),"")</f>
        <v>0</v>
      </c>
      <c r="AH56" s="223"/>
      <c r="AI56" s="223"/>
      <c r="AJ56" s="223" t="str">
        <f>_xlfn.IFNA(INDEX('3.5.1'!$1:$104,MATCH(AJ$4,'3.5.1'!$A:$A,0),MATCH(Summary!$C56,'3.5.1'!$1:$1,0)),"")</f>
        <v/>
      </c>
      <c r="AK56" s="223"/>
      <c r="AL56" s="223"/>
      <c r="AM56" s="223" t="str">
        <f>_xlfn.IFNA(INDEX('3.5.1'!$1:$104,MATCH(AM$4,'3.5.1'!$A:$A,0),MATCH(Summary!$C56,'3.5.1'!$1:$1,0)),"")</f>
        <v/>
      </c>
      <c r="AN56" s="223"/>
      <c r="AO56" s="223"/>
      <c r="AP56" s="223">
        <f>_xlfn.IFNA(INDEX('3.5.1'!$1:$104,MATCH(AP$4,'3.5.1'!$A:$A,0),MATCH(Summary!$C56,'3.5.1'!$1:$1,0)),"")</f>
        <v>0</v>
      </c>
      <c r="AQ56" s="223"/>
      <c r="AR56" s="223"/>
      <c r="AS56" s="223" t="str">
        <f>_xlfn.IFNA(INDEX('3.5.1'!$1:$104,MATCH(AS$4,'3.5.1'!$A:$A,0),MATCH(Summary!$C56,'3.5.1'!$1:$1,0)),"")</f>
        <v/>
      </c>
      <c r="AT56" s="223"/>
      <c r="AU56" s="223"/>
      <c r="AV56" s="223" t="str">
        <f>_xlfn.IFNA(INDEX('3.5.1'!$1:$104,MATCH(AV$4,'3.5.1'!$A:$A,0),MATCH(Summary!$C56,'3.5.1'!$1:$1,0)),"")</f>
        <v/>
      </c>
      <c r="AW56" s="223"/>
      <c r="AX56" s="223"/>
      <c r="AY56" s="223">
        <f>_xlfn.IFNA(INDEX('3.5.1'!$1:$104,MATCH(AY$4,'3.5.1'!$A:$A,0),MATCH(Summary!$C56,'3.5.1'!$1:$1,0)),"")</f>
        <v>0</v>
      </c>
      <c r="AZ56" s="223"/>
      <c r="BA56" s="223"/>
      <c r="BB56" s="223">
        <f>_xlfn.IFNA(INDEX('3.5.1'!$1:$104,MATCH(BB$4,'3.5.1'!$A:$A,0),MATCH(Summary!$C56,'3.5.1'!$1:$1,0)),"")</f>
        <v>0</v>
      </c>
      <c r="BC56" s="223"/>
      <c r="BD56" s="223"/>
      <c r="BE56" s="223" t="str">
        <f>_xlfn.IFNA(INDEX('3.5.1'!$1:$104,MATCH(BE$4,'3.5.1'!$A:$A,0),MATCH(Summary!$C56,'3.5.1'!$1:$1,0)),"")</f>
        <v/>
      </c>
      <c r="BF56" s="223"/>
      <c r="BG56" s="223"/>
      <c r="BH56" s="223" t="str">
        <f>_xlfn.IFNA(INDEX('3.5.1'!$1:$104,MATCH(BH$4,'3.5.1'!$A:$A,0),MATCH(Summary!$C56,'3.5.1'!$1:$1,0)),"")</f>
        <v/>
      </c>
      <c r="BI56" s="223"/>
      <c r="BJ56" s="223"/>
      <c r="BK56" s="223" t="str">
        <f>_xlfn.IFNA(INDEX('3.5.1'!$1:$104,MATCH(BK$4,'3.5.1'!$A:$A,0),MATCH(Summary!$C56,'3.5.1'!$1:$1,0)),"")</f>
        <v/>
      </c>
    </row>
    <row r="57" s="78" customFormat="1" outlineLevel="1" spans="1:63" ht="16.5" customHeight="1">
      <c r="A57" s="183"/>
      <c r="B57" s="183"/>
      <c r="C57" s="183" t="s">
        <v>157</v>
      </c>
      <c r="D57" s="220"/>
      <c r="E57" s="220"/>
      <c r="F57" s="220" t="s">
        <v>80</v>
      </c>
      <c r="G57" s="220" t="s">
        <v>158</v>
      </c>
      <c r="H57" s="221">
        <f t="shared" si="2"/>
        <v>0.445863721286222</v>
      </c>
      <c r="I57" s="222" t="str">
        <f t="shared" si="1"/>
        <v/>
      </c>
      <c r="J57" s="223"/>
      <c r="K57" s="223"/>
      <c r="L57" s="223" t="str">
        <f>_xlfn.IFNA(INDEX('3.5.1'!$1:$104,MATCH(L$4,'3.5.1'!$A:$A,0),MATCH(Summary!$C57,'3.5.1'!$1:$1,0)),"")</f>
        <v/>
      </c>
      <c r="M57" s="223"/>
      <c r="N57" s="223"/>
      <c r="O57" s="223">
        <f>_xlfn.IFNA(INDEX('3.5.1'!$1:$104,MATCH(O$4,'3.5.1'!$A:$A,0),MATCH(Summary!$C57,'3.5.1'!$1:$1,0)),"")</f>
        <v>4809931.327</v>
      </c>
      <c r="P57" s="223"/>
      <c r="Q57" s="223"/>
      <c r="R57" s="223" t="str">
        <f>_xlfn.IFNA(INDEX('3.5.1'!$1:$104,MATCH(R$4,'3.5.1'!$A:$A,0),MATCH(Summary!$C57,'3.5.1'!$1:$1,0)),"")</f>
        <v/>
      </c>
      <c r="S57" s="223"/>
      <c r="T57" s="223"/>
      <c r="U57" s="223" t="str">
        <f>_xlfn.IFNA(INDEX('3.5.1'!$1:$104,MATCH(U$4,'3.5.1'!$A:$A,0),MATCH(Summary!$C57,'3.5.1'!$1:$1,0)),"")</f>
        <v/>
      </c>
      <c r="V57" s="223"/>
      <c r="W57" s="223"/>
      <c r="X57" s="223">
        <f>_xlfn.IFNA(INDEX('3.5.1'!$1:$104,MATCH(X$4,'3.5.1'!$A:$A,0),MATCH(Summary!$C57,'3.5.1'!$1:$1,0)),"")</f>
        <v>4687506.916</v>
      </c>
      <c r="Y57" s="223"/>
      <c r="Z57" s="223"/>
      <c r="AA57" s="223" t="str">
        <f>_xlfn.IFNA(INDEX('3.5.1'!$1:$104,MATCH(AA$4,'3.5.1'!$A:$A,0),MATCH(Summary!$C57,'3.5.1'!$1:$1,0)),"")</f>
        <v/>
      </c>
      <c r="AB57" s="223"/>
      <c r="AC57" s="223"/>
      <c r="AD57" s="223" t="str">
        <f>_xlfn.IFNA(INDEX('3.5.1'!$1:$104,MATCH(AD$4,'3.5.1'!$A:$A,0),MATCH(Summary!$C57,'3.5.1'!$1:$1,0)),"")</f>
        <v/>
      </c>
      <c r="AE57" s="223"/>
      <c r="AF57" s="223"/>
      <c r="AG57" s="223">
        <f>_xlfn.IFNA(INDEX('3.5.1'!$1:$104,MATCH(AG$4,'3.5.1'!$A:$A,0),MATCH(Summary!$C57,'3.5.1'!$1:$1,0)),"")</f>
        <v>4525136.677</v>
      </c>
      <c r="AH57" s="223"/>
      <c r="AI57" s="223"/>
      <c r="AJ57" s="223" t="str">
        <f>_xlfn.IFNA(INDEX('3.5.1'!$1:$104,MATCH(AJ$4,'3.5.1'!$A:$A,0),MATCH(Summary!$C57,'3.5.1'!$1:$1,0)),"")</f>
        <v/>
      </c>
      <c r="AK57" s="223"/>
      <c r="AL57" s="223"/>
      <c r="AM57" s="223" t="str">
        <f>_xlfn.IFNA(INDEX('3.5.1'!$1:$104,MATCH(AM$4,'3.5.1'!$A:$A,0),MATCH(Summary!$C57,'3.5.1'!$1:$1,0)),"")</f>
        <v/>
      </c>
      <c r="AN57" s="223"/>
      <c r="AO57" s="223"/>
      <c r="AP57" s="223">
        <f>_xlfn.IFNA(INDEX('3.5.1'!$1:$104,MATCH(AP$4,'3.5.1'!$A:$A,0),MATCH(Summary!$C57,'3.5.1'!$1:$1,0)),"")</f>
        <v>4473885.306</v>
      </c>
      <c r="AQ57" s="223"/>
      <c r="AR57" s="223"/>
      <c r="AS57" s="223" t="str">
        <f>_xlfn.IFNA(INDEX('3.5.1'!$1:$104,MATCH(AS$4,'3.5.1'!$A:$A,0),MATCH(Summary!$C57,'3.5.1'!$1:$1,0)),"")</f>
        <v/>
      </c>
      <c r="AT57" s="223"/>
      <c r="AU57" s="223"/>
      <c r="AV57" s="223" t="str">
        <f>_xlfn.IFNA(INDEX('3.5.1'!$1:$104,MATCH(AV$4,'3.5.1'!$A:$A,0),MATCH(Summary!$C57,'3.5.1'!$1:$1,0)),"")</f>
        <v/>
      </c>
      <c r="AW57" s="223"/>
      <c r="AX57" s="223"/>
      <c r="AY57" s="223">
        <f>_xlfn.IFNA(INDEX('3.5.1'!$1:$104,MATCH(AY$4,'3.5.1'!$A:$A,0),MATCH(Summary!$C57,'3.5.1'!$1:$1,0)),"")</f>
        <v>4434070.18</v>
      </c>
      <c r="AZ57" s="223"/>
      <c r="BA57" s="223"/>
      <c r="BB57" s="223">
        <f>_xlfn.IFNA(INDEX('3.5.1'!$1:$104,MATCH(BB$4,'3.5.1'!$A:$A,0),MATCH(Summary!$C57,'3.5.1'!$1:$1,0)),"")</f>
        <v>4292441.151</v>
      </c>
      <c r="BC57" s="223"/>
      <c r="BD57" s="223"/>
      <c r="BE57" s="223" t="str">
        <f>_xlfn.IFNA(INDEX('3.5.1'!$1:$104,MATCH(BE$4,'3.5.1'!$A:$A,0),MATCH(Summary!$C57,'3.5.1'!$1:$1,0)),"")</f>
        <v/>
      </c>
      <c r="BF57" s="223"/>
      <c r="BG57" s="223"/>
      <c r="BH57" s="223" t="str">
        <f>_xlfn.IFNA(INDEX('3.5.1'!$1:$104,MATCH(BH$4,'3.5.1'!$A:$A,0),MATCH(Summary!$C57,'3.5.1'!$1:$1,0)),"")</f>
        <v/>
      </c>
      <c r="BI57" s="223"/>
      <c r="BJ57" s="223"/>
      <c r="BK57" s="223" t="str">
        <f>_xlfn.IFNA(INDEX('3.5.1'!$1:$104,MATCH(BK$4,'3.5.1'!$A:$A,0),MATCH(Summary!$C57,'3.5.1'!$1:$1,0)),"")</f>
        <v/>
      </c>
    </row>
    <row r="58" s="78" customFormat="1" outlineLevel="2" spans="1:63" ht="16.5" customHeight="1">
      <c r="A58" s="183"/>
      <c r="B58" s="183"/>
      <c r="C58" s="183" t="s">
        <v>159</v>
      </c>
      <c r="D58" s="203"/>
      <c r="E58" s="203"/>
      <c r="F58" s="218" t="s">
        <v>160</v>
      </c>
      <c r="G58" s="219" t="s">
        <v>161</v>
      </c>
      <c r="H58" s="206">
        <f t="shared" si="2"/>
        <v>0.0128401656539855</v>
      </c>
      <c r="I58" s="207" t="str">
        <f t="shared" si="1"/>
        <v/>
      </c>
      <c r="J58" s="208"/>
      <c r="K58" s="208"/>
      <c r="L58" s="208" t="str">
        <f>_xlfn.IFNA(INDEX('3.5.1'!$1:$104,MATCH(L$4,'3.5.1'!$A:$A,0),MATCH(Summary!$C58,'3.5.1'!$1:$1,0)),"")</f>
        <v/>
      </c>
      <c r="M58" s="208"/>
      <c r="N58" s="208"/>
      <c r="O58" s="208">
        <f>_xlfn.IFNA(INDEX('3.5.1'!$1:$104,MATCH(O$4,'3.5.1'!$A:$A,0),MATCH(Summary!$C58,'3.5.1'!$1:$1,0)),"")</f>
        <v>138518.368</v>
      </c>
      <c r="P58" s="208"/>
      <c r="Q58" s="208"/>
      <c r="R58" s="208" t="str">
        <f>_xlfn.IFNA(INDEX('3.5.1'!$1:$104,MATCH(R$4,'3.5.1'!$A:$A,0),MATCH(Summary!$C58,'3.5.1'!$1:$1,0)),"")</f>
        <v/>
      </c>
      <c r="S58" s="208"/>
      <c r="T58" s="208"/>
      <c r="U58" s="208" t="str">
        <f>_xlfn.IFNA(INDEX('3.5.1'!$1:$104,MATCH(U$4,'3.5.1'!$A:$A,0),MATCH(Summary!$C58,'3.5.1'!$1:$1,0)),"")</f>
        <v/>
      </c>
      <c r="V58" s="208"/>
      <c r="W58" s="208"/>
      <c r="X58" s="208">
        <f>_xlfn.IFNA(INDEX('3.5.1'!$1:$104,MATCH(X$4,'3.5.1'!$A:$A,0),MATCH(Summary!$C58,'3.5.1'!$1:$1,0)),"")</f>
        <v>139804.429</v>
      </c>
      <c r="Y58" s="208"/>
      <c r="Z58" s="208"/>
      <c r="AA58" s="208" t="str">
        <f>_xlfn.IFNA(INDEX('3.5.1'!$1:$104,MATCH(AA$4,'3.5.1'!$A:$A,0),MATCH(Summary!$C58,'3.5.1'!$1:$1,0)),"")</f>
        <v/>
      </c>
      <c r="AB58" s="208"/>
      <c r="AC58" s="208"/>
      <c r="AD58" s="208" t="str">
        <f>_xlfn.IFNA(INDEX('3.5.1'!$1:$104,MATCH(AD$4,'3.5.1'!$A:$A,0),MATCH(Summary!$C58,'3.5.1'!$1:$1,0)),"")</f>
        <v/>
      </c>
      <c r="AE58" s="208"/>
      <c r="AF58" s="208"/>
      <c r="AG58" s="208">
        <f>_xlfn.IFNA(INDEX('3.5.1'!$1:$104,MATCH(AG$4,'3.5.1'!$A:$A,0),MATCH(Summary!$C58,'3.5.1'!$1:$1,0)),"")</f>
        <v>131413.745</v>
      </c>
      <c r="AH58" s="208"/>
      <c r="AI58" s="208"/>
      <c r="AJ58" s="208" t="str">
        <f>_xlfn.IFNA(INDEX('3.5.1'!$1:$104,MATCH(AJ$4,'3.5.1'!$A:$A,0),MATCH(Summary!$C58,'3.5.1'!$1:$1,0)),"")</f>
        <v/>
      </c>
      <c r="AK58" s="208"/>
      <c r="AL58" s="208"/>
      <c r="AM58" s="208" t="str">
        <f>_xlfn.IFNA(INDEX('3.5.1'!$1:$104,MATCH(AM$4,'3.5.1'!$A:$A,0),MATCH(Summary!$C58,'3.5.1'!$1:$1,0)),"")</f>
        <v/>
      </c>
      <c r="AN58" s="208"/>
      <c r="AO58" s="208"/>
      <c r="AP58" s="208">
        <f>_xlfn.IFNA(INDEX('3.5.1'!$1:$104,MATCH(AP$4,'3.5.1'!$A:$A,0),MATCH(Summary!$C58,'3.5.1'!$1:$1,0)),"")</f>
        <v>134852.388</v>
      </c>
      <c r="AQ58" s="208"/>
      <c r="AR58" s="208"/>
      <c r="AS58" s="208" t="str">
        <f>_xlfn.IFNA(INDEX('3.5.1'!$1:$104,MATCH(AS$4,'3.5.1'!$A:$A,0),MATCH(Summary!$C58,'3.5.1'!$1:$1,0)),"")</f>
        <v/>
      </c>
      <c r="AT58" s="208"/>
      <c r="AU58" s="208"/>
      <c r="AV58" s="208" t="str">
        <f>_xlfn.IFNA(INDEX('3.5.1'!$1:$104,MATCH(AV$4,'3.5.1'!$A:$A,0),MATCH(Summary!$C58,'3.5.1'!$1:$1,0)),"")</f>
        <v/>
      </c>
      <c r="AW58" s="208"/>
      <c r="AX58" s="208"/>
      <c r="AY58" s="208">
        <f>_xlfn.IFNA(INDEX('3.5.1'!$1:$104,MATCH(AY$4,'3.5.1'!$A:$A,0),MATCH(Summary!$C58,'3.5.1'!$1:$1,0)),"")</f>
        <v>137518.278</v>
      </c>
      <c r="AZ58" s="208"/>
      <c r="BA58" s="208"/>
      <c r="BB58" s="208">
        <f>_xlfn.IFNA(INDEX('3.5.1'!$1:$104,MATCH(BB$4,'3.5.1'!$A:$A,0),MATCH(Summary!$C58,'3.5.1'!$1:$1,0)),"")</f>
        <v>132742.938</v>
      </c>
      <c r="BC58" s="208"/>
      <c r="BD58" s="208"/>
      <c r="BE58" s="208" t="str">
        <f>_xlfn.IFNA(INDEX('3.5.1'!$1:$104,MATCH(BE$4,'3.5.1'!$A:$A,0),MATCH(Summary!$C58,'3.5.1'!$1:$1,0)),"")</f>
        <v/>
      </c>
      <c r="BF58" s="208"/>
      <c r="BG58" s="208"/>
      <c r="BH58" s="208" t="str">
        <f>_xlfn.IFNA(INDEX('3.5.1'!$1:$104,MATCH(BH$4,'3.5.1'!$A:$A,0),MATCH(Summary!$C58,'3.5.1'!$1:$1,0)),"")</f>
        <v/>
      </c>
      <c r="BI58" s="208"/>
      <c r="BJ58" s="208"/>
      <c r="BK58" s="208" t="str">
        <f>_xlfn.IFNA(INDEX('3.5.1'!$1:$104,MATCH(BK$4,'3.5.1'!$A:$A,0),MATCH(Summary!$C58,'3.5.1'!$1:$1,0)),"")</f>
        <v/>
      </c>
    </row>
    <row r="59" s="78" customFormat="1" outlineLevel="2" spans="1:63" ht="16.5" customHeight="1">
      <c r="A59" s="183"/>
      <c r="B59" s="183"/>
      <c r="C59" s="183" t="s">
        <v>162</v>
      </c>
      <c r="D59" s="203"/>
      <c r="E59" s="203"/>
      <c r="F59" s="218" t="s">
        <v>163</v>
      </c>
      <c r="G59" s="219" t="s">
        <v>164</v>
      </c>
      <c r="H59" s="206">
        <f t="shared" si="2"/>
        <v>0.0957302811011824</v>
      </c>
      <c r="I59" s="207" t="str">
        <f t="shared" si="1"/>
        <v/>
      </c>
      <c r="J59" s="208"/>
      <c r="K59" s="208"/>
      <c r="L59" s="208" t="str">
        <f>_xlfn.IFNA(INDEX('3.5.1'!$1:$104,MATCH(L$4,'3.5.1'!$A:$A,0),MATCH(Summary!$C59,'3.5.1'!$1:$1,0)),"")</f>
        <v/>
      </c>
      <c r="M59" s="208"/>
      <c r="N59" s="208"/>
      <c r="O59" s="208">
        <f>_xlfn.IFNA(INDEX('3.5.1'!$1:$104,MATCH(O$4,'3.5.1'!$A:$A,0),MATCH(Summary!$C59,'3.5.1'!$1:$1,0)),"")</f>
        <v>1032728.289</v>
      </c>
      <c r="P59" s="208"/>
      <c r="Q59" s="208"/>
      <c r="R59" s="208" t="str">
        <f>_xlfn.IFNA(INDEX('3.5.1'!$1:$104,MATCH(R$4,'3.5.1'!$A:$A,0),MATCH(Summary!$C59,'3.5.1'!$1:$1,0)),"")</f>
        <v/>
      </c>
      <c r="S59" s="208"/>
      <c r="T59" s="208"/>
      <c r="U59" s="208" t="str">
        <f>_xlfn.IFNA(INDEX('3.5.1'!$1:$104,MATCH(U$4,'3.5.1'!$A:$A,0),MATCH(Summary!$C59,'3.5.1'!$1:$1,0)),"")</f>
        <v/>
      </c>
      <c r="V59" s="208"/>
      <c r="W59" s="208"/>
      <c r="X59" s="208">
        <f>_xlfn.IFNA(INDEX('3.5.1'!$1:$104,MATCH(X$4,'3.5.1'!$A:$A,0),MATCH(Summary!$C59,'3.5.1'!$1:$1,0)),"")</f>
        <v>984139.371</v>
      </c>
      <c r="Y59" s="208"/>
      <c r="Z59" s="208"/>
      <c r="AA59" s="208" t="str">
        <f>_xlfn.IFNA(INDEX('3.5.1'!$1:$104,MATCH(AA$4,'3.5.1'!$A:$A,0),MATCH(Summary!$C59,'3.5.1'!$1:$1,0)),"")</f>
        <v/>
      </c>
      <c r="AB59" s="208"/>
      <c r="AC59" s="208"/>
      <c r="AD59" s="208" t="str">
        <f>_xlfn.IFNA(INDEX('3.5.1'!$1:$104,MATCH(AD$4,'3.5.1'!$A:$A,0),MATCH(Summary!$C59,'3.5.1'!$1:$1,0)),"")</f>
        <v/>
      </c>
      <c r="AE59" s="208"/>
      <c r="AF59" s="208"/>
      <c r="AG59" s="208">
        <f>_xlfn.IFNA(INDEX('3.5.1'!$1:$104,MATCH(AG$4,'3.5.1'!$A:$A,0),MATCH(Summary!$C59,'3.5.1'!$1:$1,0)),"")</f>
        <v>940367.197</v>
      </c>
      <c r="AH59" s="208"/>
      <c r="AI59" s="208"/>
      <c r="AJ59" s="208" t="str">
        <f>_xlfn.IFNA(INDEX('3.5.1'!$1:$104,MATCH(AJ$4,'3.5.1'!$A:$A,0),MATCH(Summary!$C59,'3.5.1'!$1:$1,0)),"")</f>
        <v/>
      </c>
      <c r="AK59" s="208"/>
      <c r="AL59" s="208"/>
      <c r="AM59" s="208" t="str">
        <f>_xlfn.IFNA(INDEX('3.5.1'!$1:$104,MATCH(AM$4,'3.5.1'!$A:$A,0),MATCH(Summary!$C59,'3.5.1'!$1:$1,0)),"")</f>
        <v/>
      </c>
      <c r="AN59" s="208"/>
      <c r="AO59" s="208"/>
      <c r="AP59" s="208">
        <f>_xlfn.IFNA(INDEX('3.5.1'!$1:$104,MATCH(AP$4,'3.5.1'!$A:$A,0),MATCH(Summary!$C59,'3.5.1'!$1:$1,0)),"")</f>
        <v>938125.018</v>
      </c>
      <c r="AQ59" s="208"/>
      <c r="AR59" s="208"/>
      <c r="AS59" s="208" t="str">
        <f>_xlfn.IFNA(INDEX('3.5.1'!$1:$104,MATCH(AS$4,'3.5.1'!$A:$A,0),MATCH(Summary!$C59,'3.5.1'!$1:$1,0)),"")</f>
        <v/>
      </c>
      <c r="AT59" s="208"/>
      <c r="AU59" s="208"/>
      <c r="AV59" s="208" t="str">
        <f>_xlfn.IFNA(INDEX('3.5.1'!$1:$104,MATCH(AV$4,'3.5.1'!$A:$A,0),MATCH(Summary!$C59,'3.5.1'!$1:$1,0)),"")</f>
        <v/>
      </c>
      <c r="AW59" s="208"/>
      <c r="AX59" s="208"/>
      <c r="AY59" s="208">
        <f>_xlfn.IFNA(INDEX('3.5.1'!$1:$104,MATCH(AY$4,'3.5.1'!$A:$A,0),MATCH(Summary!$C59,'3.5.1'!$1:$1,0)),"")</f>
        <v>910454.89</v>
      </c>
      <c r="AZ59" s="208"/>
      <c r="BA59" s="208"/>
      <c r="BB59" s="208">
        <f>_xlfn.IFNA(INDEX('3.5.1'!$1:$104,MATCH(BB$4,'3.5.1'!$A:$A,0),MATCH(Summary!$C59,'3.5.1'!$1:$1,0)),"")</f>
        <v>840262.485</v>
      </c>
      <c r="BC59" s="208"/>
      <c r="BD59" s="208"/>
      <c r="BE59" s="208" t="str">
        <f>_xlfn.IFNA(INDEX('3.5.1'!$1:$104,MATCH(BE$4,'3.5.1'!$A:$A,0),MATCH(Summary!$C59,'3.5.1'!$1:$1,0)),"")</f>
        <v/>
      </c>
      <c r="BF59" s="208"/>
      <c r="BG59" s="208"/>
      <c r="BH59" s="208" t="str">
        <f>_xlfn.IFNA(INDEX('3.5.1'!$1:$104,MATCH(BH$4,'3.5.1'!$A:$A,0),MATCH(Summary!$C59,'3.5.1'!$1:$1,0)),"")</f>
        <v/>
      </c>
      <c r="BI59" s="208"/>
      <c r="BJ59" s="208"/>
      <c r="BK59" s="208" t="str">
        <f>_xlfn.IFNA(INDEX('3.5.1'!$1:$104,MATCH(BK$4,'3.5.1'!$A:$A,0),MATCH(Summary!$C59,'3.5.1'!$1:$1,0)),"")</f>
        <v/>
      </c>
    </row>
    <row r="60" s="78" customFormat="1" hidden="1" outlineLevel="3" spans="1:63" ht="16.5" customHeight="1">
      <c r="A60" s="183"/>
      <c r="B60" s="183"/>
      <c r="C60" s="183" t="s">
        <v>165</v>
      </c>
      <c r="D60" s="203"/>
      <c r="E60" s="203"/>
      <c r="F60" s="203" t="s">
        <v>166</v>
      </c>
      <c r="G60" s="205" t="s">
        <v>167</v>
      </c>
      <c r="H60" s="206">
        <f t="shared" si="2"/>
        <v>0.0624935118023136</v>
      </c>
      <c r="I60" s="207" t="str">
        <f t="shared" si="1"/>
        <v/>
      </c>
      <c r="J60" s="208"/>
      <c r="K60" s="208"/>
      <c r="L60" s="208" t="str">
        <f>_xlfn.IFNA(INDEX('3.5.1'!$1:$104,MATCH(L$4,'3.5.1'!$A:$A,0),MATCH(Summary!$C60,'3.5.1'!$1:$1,0)),"")</f>
        <v/>
      </c>
      <c r="M60" s="208"/>
      <c r="N60" s="208"/>
      <c r="O60" s="208">
        <f>_xlfn.IFNA(INDEX('3.5.1'!$1:$104,MATCH(O$4,'3.5.1'!$A:$A,0),MATCH(Summary!$C60,'3.5.1'!$1:$1,0)),"")</f>
        <v>674173.488</v>
      </c>
      <c r="P60" s="208"/>
      <c r="Q60" s="208"/>
      <c r="R60" s="208" t="str">
        <f>_xlfn.IFNA(INDEX('3.5.1'!$1:$104,MATCH(R$4,'3.5.1'!$A:$A,0),MATCH(Summary!$C60,'3.5.1'!$1:$1,0)),"")</f>
        <v/>
      </c>
      <c r="S60" s="208"/>
      <c r="T60" s="208"/>
      <c r="U60" s="208" t="str">
        <f>_xlfn.IFNA(INDEX('3.5.1'!$1:$104,MATCH(U$4,'3.5.1'!$A:$A,0),MATCH(Summary!$C60,'3.5.1'!$1:$1,0)),"")</f>
        <v/>
      </c>
      <c r="V60" s="208"/>
      <c r="W60" s="208"/>
      <c r="X60" s="208">
        <f>_xlfn.IFNA(INDEX('3.5.1'!$1:$104,MATCH(X$4,'3.5.1'!$A:$A,0),MATCH(Summary!$C60,'3.5.1'!$1:$1,0)),"")</f>
        <v>632191.773</v>
      </c>
      <c r="Y60" s="208"/>
      <c r="Z60" s="208"/>
      <c r="AA60" s="208" t="str">
        <f>_xlfn.IFNA(INDEX('3.5.1'!$1:$104,MATCH(AA$4,'3.5.1'!$A:$A,0),MATCH(Summary!$C60,'3.5.1'!$1:$1,0)),"")</f>
        <v/>
      </c>
      <c r="AB60" s="208"/>
      <c r="AC60" s="208"/>
      <c r="AD60" s="208" t="str">
        <f>_xlfn.IFNA(INDEX('3.5.1'!$1:$104,MATCH(AD$4,'3.5.1'!$A:$A,0),MATCH(Summary!$C60,'3.5.1'!$1:$1,0)),"")</f>
        <v/>
      </c>
      <c r="AE60" s="208"/>
      <c r="AF60" s="208"/>
      <c r="AG60" s="208">
        <f>_xlfn.IFNA(INDEX('3.5.1'!$1:$104,MATCH(AG$4,'3.5.1'!$A:$A,0),MATCH(Summary!$C60,'3.5.1'!$1:$1,0)),"")</f>
        <v>602510.589</v>
      </c>
      <c r="AH60" s="208"/>
      <c r="AI60" s="208"/>
      <c r="AJ60" s="208" t="str">
        <f>_xlfn.IFNA(INDEX('3.5.1'!$1:$104,MATCH(AJ$4,'3.5.1'!$A:$A,0),MATCH(Summary!$C60,'3.5.1'!$1:$1,0)),"")</f>
        <v/>
      </c>
      <c r="AK60" s="208"/>
      <c r="AL60" s="208"/>
      <c r="AM60" s="208" t="str">
        <f>_xlfn.IFNA(INDEX('3.5.1'!$1:$104,MATCH(AM$4,'3.5.1'!$A:$A,0),MATCH(Summary!$C60,'3.5.1'!$1:$1,0)),"")</f>
        <v/>
      </c>
      <c r="AN60" s="208"/>
      <c r="AO60" s="208"/>
      <c r="AP60" s="208">
        <f>_xlfn.IFNA(INDEX('3.5.1'!$1:$104,MATCH(AP$4,'3.5.1'!$A:$A,0),MATCH(Summary!$C60,'3.5.1'!$1:$1,0)),"")</f>
        <v>594053.387</v>
      </c>
      <c r="AQ60" s="208"/>
      <c r="AR60" s="208"/>
      <c r="AS60" s="208" t="str">
        <f>_xlfn.IFNA(INDEX('3.5.1'!$1:$104,MATCH(AS$4,'3.5.1'!$A:$A,0),MATCH(Summary!$C60,'3.5.1'!$1:$1,0)),"")</f>
        <v/>
      </c>
      <c r="AT60" s="208"/>
      <c r="AU60" s="208"/>
      <c r="AV60" s="208" t="str">
        <f>_xlfn.IFNA(INDEX('3.5.1'!$1:$104,MATCH(AV$4,'3.5.1'!$A:$A,0),MATCH(Summary!$C60,'3.5.1'!$1:$1,0)),"")</f>
        <v/>
      </c>
      <c r="AW60" s="208"/>
      <c r="AX60" s="208"/>
      <c r="AY60" s="208">
        <f>_xlfn.IFNA(INDEX('3.5.1'!$1:$104,MATCH(AY$4,'3.5.1'!$A:$A,0),MATCH(Summary!$C60,'3.5.1'!$1:$1,0)),"")</f>
        <v>563542.474</v>
      </c>
      <c r="AZ60" s="208"/>
      <c r="BA60" s="208"/>
      <c r="BB60" s="208">
        <f>_xlfn.IFNA(INDEX('3.5.1'!$1:$104,MATCH(BB$4,'3.5.1'!$A:$A,0),MATCH(Summary!$C60,'3.5.1'!$1:$1,0)),"")</f>
        <v>510769.509</v>
      </c>
      <c r="BC60" s="208"/>
      <c r="BD60" s="208"/>
      <c r="BE60" s="208" t="str">
        <f>_xlfn.IFNA(INDEX('3.5.1'!$1:$104,MATCH(BE$4,'3.5.1'!$A:$A,0),MATCH(Summary!$C60,'3.5.1'!$1:$1,0)),"")</f>
        <v/>
      </c>
      <c r="BF60" s="208"/>
      <c r="BG60" s="208"/>
      <c r="BH60" s="208" t="str">
        <f>_xlfn.IFNA(INDEX('3.5.1'!$1:$104,MATCH(BH$4,'3.5.1'!$A:$A,0),MATCH(Summary!$C60,'3.5.1'!$1:$1,0)),"")</f>
        <v/>
      </c>
      <c r="BI60" s="208"/>
      <c r="BJ60" s="208"/>
      <c r="BK60" s="208" t="str">
        <f>_xlfn.IFNA(INDEX('3.5.1'!$1:$104,MATCH(BK$4,'3.5.1'!$A:$A,0),MATCH(Summary!$C60,'3.5.1'!$1:$1,0)),"")</f>
        <v/>
      </c>
    </row>
    <row r="61" s="78" customFormat="1" hidden="1" outlineLevel="3" spans="1:63" ht="16.5" customHeight="1">
      <c r="A61" s="183"/>
      <c r="B61" s="183"/>
      <c r="C61" s="183" t="s">
        <v>168</v>
      </c>
      <c r="D61" s="203"/>
      <c r="E61" s="203"/>
      <c r="F61" s="203" t="s">
        <v>169</v>
      </c>
      <c r="G61" s="205" t="s">
        <v>170</v>
      </c>
      <c r="H61" s="206">
        <f t="shared" si="2"/>
        <v>0.00371146793303372</v>
      </c>
      <c r="I61" s="207" t="str">
        <f t="shared" si="1"/>
        <v/>
      </c>
      <c r="J61" s="208"/>
      <c r="K61" s="208"/>
      <c r="L61" s="208" t="str">
        <f>_xlfn.IFNA(INDEX('3.5.1'!$1:$104,MATCH(L$4,'3.5.1'!$A:$A,0),MATCH(Summary!$C61,'3.5.1'!$1:$1,0)),"")</f>
        <v/>
      </c>
      <c r="M61" s="208"/>
      <c r="N61" s="208"/>
      <c r="O61" s="208">
        <f>_xlfn.IFNA(INDEX('3.5.1'!$1:$104,MATCH(O$4,'3.5.1'!$A:$A,0),MATCH(Summary!$C61,'3.5.1'!$1:$1,0)),"")</f>
        <v>40038.929</v>
      </c>
      <c r="P61" s="208"/>
      <c r="Q61" s="208"/>
      <c r="R61" s="208" t="str">
        <f>_xlfn.IFNA(INDEX('3.5.1'!$1:$104,MATCH(R$4,'3.5.1'!$A:$A,0),MATCH(Summary!$C61,'3.5.1'!$1:$1,0)),"")</f>
        <v/>
      </c>
      <c r="S61" s="208"/>
      <c r="T61" s="208"/>
      <c r="U61" s="208" t="str">
        <f>_xlfn.IFNA(INDEX('3.5.1'!$1:$104,MATCH(U$4,'3.5.1'!$A:$A,0),MATCH(Summary!$C61,'3.5.1'!$1:$1,0)),"")</f>
        <v/>
      </c>
      <c r="V61" s="208"/>
      <c r="W61" s="208"/>
      <c r="X61" s="208">
        <f>_xlfn.IFNA(INDEX('3.5.1'!$1:$104,MATCH(X$4,'3.5.1'!$A:$A,0),MATCH(Summary!$C61,'3.5.1'!$1:$1,0)),"")</f>
        <v>39901.347</v>
      </c>
      <c r="Y61" s="208"/>
      <c r="Z61" s="208"/>
      <c r="AA61" s="208" t="str">
        <f>_xlfn.IFNA(INDEX('3.5.1'!$1:$104,MATCH(AA$4,'3.5.1'!$A:$A,0),MATCH(Summary!$C61,'3.5.1'!$1:$1,0)),"")</f>
        <v/>
      </c>
      <c r="AB61" s="208"/>
      <c r="AC61" s="208"/>
      <c r="AD61" s="208" t="str">
        <f>_xlfn.IFNA(INDEX('3.5.1'!$1:$104,MATCH(AD$4,'3.5.1'!$A:$A,0),MATCH(Summary!$C61,'3.5.1'!$1:$1,0)),"")</f>
        <v/>
      </c>
      <c r="AE61" s="208"/>
      <c r="AF61" s="208"/>
      <c r="AG61" s="208">
        <f>_xlfn.IFNA(INDEX('3.5.1'!$1:$104,MATCH(AG$4,'3.5.1'!$A:$A,0),MATCH(Summary!$C61,'3.5.1'!$1:$1,0)),"")</f>
        <v>37284.217</v>
      </c>
      <c r="AH61" s="208"/>
      <c r="AI61" s="208"/>
      <c r="AJ61" s="208" t="str">
        <f>_xlfn.IFNA(INDEX('3.5.1'!$1:$104,MATCH(AJ$4,'3.5.1'!$A:$A,0),MATCH(Summary!$C61,'3.5.1'!$1:$1,0)),"")</f>
        <v/>
      </c>
      <c r="AK61" s="208"/>
      <c r="AL61" s="208"/>
      <c r="AM61" s="208" t="str">
        <f>_xlfn.IFNA(INDEX('3.5.1'!$1:$104,MATCH(AM$4,'3.5.1'!$A:$A,0),MATCH(Summary!$C61,'3.5.1'!$1:$1,0)),"")</f>
        <v/>
      </c>
      <c r="AN61" s="208"/>
      <c r="AO61" s="208"/>
      <c r="AP61" s="208">
        <f>_xlfn.IFNA(INDEX('3.5.1'!$1:$104,MATCH(AP$4,'3.5.1'!$A:$A,0),MATCH(Summary!$C61,'3.5.1'!$1:$1,0)),"")</f>
        <v>38001.532</v>
      </c>
      <c r="AQ61" s="208"/>
      <c r="AR61" s="208"/>
      <c r="AS61" s="208" t="str">
        <f>_xlfn.IFNA(INDEX('3.5.1'!$1:$104,MATCH(AS$4,'3.5.1'!$A:$A,0),MATCH(Summary!$C61,'3.5.1'!$1:$1,0)),"")</f>
        <v/>
      </c>
      <c r="AT61" s="208"/>
      <c r="AU61" s="208"/>
      <c r="AV61" s="208" t="str">
        <f>_xlfn.IFNA(INDEX('3.5.1'!$1:$104,MATCH(AV$4,'3.5.1'!$A:$A,0),MATCH(Summary!$C61,'3.5.1'!$1:$1,0)),"")</f>
        <v/>
      </c>
      <c r="AW61" s="208"/>
      <c r="AX61" s="208"/>
      <c r="AY61" s="208">
        <f>_xlfn.IFNA(INDEX('3.5.1'!$1:$104,MATCH(AY$4,'3.5.1'!$A:$A,0),MATCH(Summary!$C61,'3.5.1'!$1:$1,0)),"")</f>
        <v>41933.241</v>
      </c>
      <c r="AZ61" s="208"/>
      <c r="BA61" s="208"/>
      <c r="BB61" s="208">
        <f>_xlfn.IFNA(INDEX('3.5.1'!$1:$104,MATCH(BB$4,'3.5.1'!$A:$A,0),MATCH(Summary!$C61,'3.5.1'!$1:$1,0)),"")</f>
        <v>36242.792</v>
      </c>
      <c r="BC61" s="208"/>
      <c r="BD61" s="208"/>
      <c r="BE61" s="208" t="str">
        <f>_xlfn.IFNA(INDEX('3.5.1'!$1:$104,MATCH(BE$4,'3.5.1'!$A:$A,0),MATCH(Summary!$C61,'3.5.1'!$1:$1,0)),"")</f>
        <v/>
      </c>
      <c r="BF61" s="208"/>
      <c r="BG61" s="208"/>
      <c r="BH61" s="208" t="str">
        <f>_xlfn.IFNA(INDEX('3.5.1'!$1:$104,MATCH(BH$4,'3.5.1'!$A:$A,0),MATCH(Summary!$C61,'3.5.1'!$1:$1,0)),"")</f>
        <v/>
      </c>
      <c r="BI61" s="208"/>
      <c r="BJ61" s="208"/>
      <c r="BK61" s="208" t="str">
        <f>_xlfn.IFNA(INDEX('3.5.1'!$1:$104,MATCH(BK$4,'3.5.1'!$A:$A,0),MATCH(Summary!$C61,'3.5.1'!$1:$1,0)),"")</f>
        <v/>
      </c>
    </row>
    <row r="62" s="78" customFormat="1" hidden="1" outlineLevel="3" spans="1:63" ht="16.5" customHeight="1">
      <c r="A62" s="183"/>
      <c r="B62" s="183"/>
      <c r="C62" s="183" t="s">
        <v>171</v>
      </c>
      <c r="D62" s="203"/>
      <c r="E62" s="203"/>
      <c r="F62" s="203" t="s">
        <v>172</v>
      </c>
      <c r="G62" s="205" t="s">
        <v>173</v>
      </c>
      <c r="H62" s="206">
        <f t="shared" si="2"/>
        <v>0.000207341455619737</v>
      </c>
      <c r="I62" s="207" t="str">
        <f t="shared" si="1"/>
        <v/>
      </c>
      <c r="J62" s="208"/>
      <c r="K62" s="208"/>
      <c r="L62" s="208" t="str">
        <f>_xlfn.IFNA(INDEX('3.5.1'!$1:$104,MATCH(L$4,'3.5.1'!$A:$A,0),MATCH(Summary!$C62,'3.5.1'!$1:$1,0)),"")</f>
        <v/>
      </c>
      <c r="M62" s="208"/>
      <c r="N62" s="208"/>
      <c r="O62" s="208">
        <f>_xlfn.IFNA(INDEX('3.5.1'!$1:$104,MATCH(O$4,'3.5.1'!$A:$A,0),MATCH(Summary!$C62,'3.5.1'!$1:$1,0)),"")</f>
        <v>2236.778</v>
      </c>
      <c r="P62" s="208"/>
      <c r="Q62" s="208"/>
      <c r="R62" s="208" t="str">
        <f>_xlfn.IFNA(INDEX('3.5.1'!$1:$104,MATCH(R$4,'3.5.1'!$A:$A,0),MATCH(Summary!$C62,'3.5.1'!$1:$1,0)),"")</f>
        <v/>
      </c>
      <c r="S62" s="208"/>
      <c r="T62" s="208"/>
      <c r="U62" s="208" t="str">
        <f>_xlfn.IFNA(INDEX('3.5.1'!$1:$104,MATCH(U$4,'3.5.1'!$A:$A,0),MATCH(Summary!$C62,'3.5.1'!$1:$1,0)),"")</f>
        <v/>
      </c>
      <c r="V62" s="208"/>
      <c r="W62" s="208"/>
      <c r="X62" s="208">
        <f>_xlfn.IFNA(INDEX('3.5.1'!$1:$104,MATCH(X$4,'3.5.1'!$A:$A,0),MATCH(Summary!$C62,'3.5.1'!$1:$1,0)),"")</f>
        <v>1445.849</v>
      </c>
      <c r="Y62" s="208"/>
      <c r="Z62" s="208"/>
      <c r="AA62" s="208" t="str">
        <f>_xlfn.IFNA(INDEX('3.5.1'!$1:$104,MATCH(AA$4,'3.5.1'!$A:$A,0),MATCH(Summary!$C62,'3.5.1'!$1:$1,0)),"")</f>
        <v/>
      </c>
      <c r="AB62" s="208"/>
      <c r="AC62" s="208"/>
      <c r="AD62" s="208" t="str">
        <f>_xlfn.IFNA(INDEX('3.5.1'!$1:$104,MATCH(AD$4,'3.5.1'!$A:$A,0),MATCH(Summary!$C62,'3.5.1'!$1:$1,0)),"")</f>
        <v/>
      </c>
      <c r="AE62" s="208"/>
      <c r="AF62" s="208"/>
      <c r="AG62" s="208">
        <f>_xlfn.IFNA(INDEX('3.5.1'!$1:$104,MATCH(AG$4,'3.5.1'!$A:$A,0),MATCH(Summary!$C62,'3.5.1'!$1:$1,0)),"")</f>
        <v>2160.781</v>
      </c>
      <c r="AH62" s="208"/>
      <c r="AI62" s="208"/>
      <c r="AJ62" s="208" t="str">
        <f>_xlfn.IFNA(INDEX('3.5.1'!$1:$104,MATCH(AJ$4,'3.5.1'!$A:$A,0),MATCH(Summary!$C62,'3.5.1'!$1:$1,0)),"")</f>
        <v/>
      </c>
      <c r="AK62" s="208"/>
      <c r="AL62" s="208"/>
      <c r="AM62" s="208" t="str">
        <f>_xlfn.IFNA(INDEX('3.5.1'!$1:$104,MATCH(AM$4,'3.5.1'!$A:$A,0),MATCH(Summary!$C62,'3.5.1'!$1:$1,0)),"")</f>
        <v/>
      </c>
      <c r="AN62" s="208"/>
      <c r="AO62" s="208"/>
      <c r="AP62" s="208">
        <f>_xlfn.IFNA(INDEX('3.5.1'!$1:$104,MATCH(AP$4,'3.5.1'!$A:$A,0),MATCH(Summary!$C62,'3.5.1'!$1:$1,0)),"")</f>
        <v>2308.27</v>
      </c>
      <c r="AQ62" s="208"/>
      <c r="AR62" s="208"/>
      <c r="AS62" s="208" t="str">
        <f>_xlfn.IFNA(INDEX('3.5.1'!$1:$104,MATCH(AS$4,'3.5.1'!$A:$A,0),MATCH(Summary!$C62,'3.5.1'!$1:$1,0)),"")</f>
        <v/>
      </c>
      <c r="AT62" s="208"/>
      <c r="AU62" s="208"/>
      <c r="AV62" s="208" t="str">
        <f>_xlfn.IFNA(INDEX('3.5.1'!$1:$104,MATCH(AV$4,'3.5.1'!$A:$A,0),MATCH(Summary!$C62,'3.5.1'!$1:$1,0)),"")</f>
        <v/>
      </c>
      <c r="AW62" s="208"/>
      <c r="AX62" s="208"/>
      <c r="AY62" s="208">
        <f>_xlfn.IFNA(INDEX('3.5.1'!$1:$104,MATCH(AY$4,'3.5.1'!$A:$A,0),MATCH(Summary!$C62,'3.5.1'!$1:$1,0)),"")</f>
        <v>104.891</v>
      </c>
      <c r="AZ62" s="208"/>
      <c r="BA62" s="208"/>
      <c r="BB62" s="208">
        <f>_xlfn.IFNA(INDEX('3.5.1'!$1:$104,MATCH(BB$4,'3.5.1'!$A:$A,0),MATCH(Summary!$C62,'3.5.1'!$1:$1,0)),"")</f>
        <v>282.178</v>
      </c>
      <c r="BC62" s="208"/>
      <c r="BD62" s="208"/>
      <c r="BE62" s="208" t="str">
        <f>_xlfn.IFNA(INDEX('3.5.1'!$1:$104,MATCH(BE$4,'3.5.1'!$A:$A,0),MATCH(Summary!$C62,'3.5.1'!$1:$1,0)),"")</f>
        <v/>
      </c>
      <c r="BF62" s="208"/>
      <c r="BG62" s="208"/>
      <c r="BH62" s="208" t="str">
        <f>_xlfn.IFNA(INDEX('3.5.1'!$1:$104,MATCH(BH$4,'3.5.1'!$A:$A,0),MATCH(Summary!$C62,'3.5.1'!$1:$1,0)),"")</f>
        <v/>
      </c>
      <c r="BI62" s="208"/>
      <c r="BJ62" s="208"/>
      <c r="BK62" s="208" t="str">
        <f>_xlfn.IFNA(INDEX('3.5.1'!$1:$104,MATCH(BK$4,'3.5.1'!$A:$A,0),MATCH(Summary!$C62,'3.5.1'!$1:$1,0)),"")</f>
        <v/>
      </c>
    </row>
    <row r="63" s="78" customFormat="1" hidden="1" outlineLevel="3" spans="1:63" ht="16.5" customHeight="1">
      <c r="A63" s="183"/>
      <c r="B63" s="183"/>
      <c r="C63" s="183" t="s">
        <v>174</v>
      </c>
      <c r="D63" s="203"/>
      <c r="E63" s="203"/>
      <c r="F63" s="203" t="s">
        <v>175</v>
      </c>
      <c r="G63" s="205" t="s">
        <v>176</v>
      </c>
      <c r="H63" s="206">
        <f t="shared" si="2"/>
        <v>0.0293179599102153</v>
      </c>
      <c r="I63" s="207" t="str">
        <f t="shared" si="1"/>
        <v/>
      </c>
      <c r="J63" s="208"/>
      <c r="K63" s="208"/>
      <c r="L63" s="208" t="str">
        <f>_xlfn.IFNA(INDEX('3.5.1'!$1:$104,MATCH(L$4,'3.5.1'!$A:$A,0),MATCH(Summary!$C63,'3.5.1'!$1:$1,0)),"")</f>
        <v/>
      </c>
      <c r="M63" s="208"/>
      <c r="N63" s="208"/>
      <c r="O63" s="208">
        <f>_xlfn.IFNA(INDEX('3.5.1'!$1:$104,MATCH(O$4,'3.5.1'!$A:$A,0),MATCH(Summary!$C63,'3.5.1'!$1:$1,0)),"")</f>
        <v>316279.094</v>
      </c>
      <c r="P63" s="208"/>
      <c r="Q63" s="208"/>
      <c r="R63" s="208" t="str">
        <f>_xlfn.IFNA(INDEX('3.5.1'!$1:$104,MATCH(R$4,'3.5.1'!$A:$A,0),MATCH(Summary!$C63,'3.5.1'!$1:$1,0)),"")</f>
        <v/>
      </c>
      <c r="S63" s="208"/>
      <c r="T63" s="208"/>
      <c r="U63" s="208" t="str">
        <f>_xlfn.IFNA(INDEX('3.5.1'!$1:$104,MATCH(U$4,'3.5.1'!$A:$A,0),MATCH(Summary!$C63,'3.5.1'!$1:$1,0)),"")</f>
        <v/>
      </c>
      <c r="V63" s="208"/>
      <c r="W63" s="208"/>
      <c r="X63" s="208">
        <f>_xlfn.IFNA(INDEX('3.5.1'!$1:$104,MATCH(X$4,'3.5.1'!$A:$A,0),MATCH(Summary!$C63,'3.5.1'!$1:$1,0)),"")</f>
        <v>310600.402</v>
      </c>
      <c r="Y63" s="208"/>
      <c r="Z63" s="208"/>
      <c r="AA63" s="208" t="str">
        <f>_xlfn.IFNA(INDEX('3.5.1'!$1:$104,MATCH(AA$4,'3.5.1'!$A:$A,0),MATCH(Summary!$C63,'3.5.1'!$1:$1,0)),"")</f>
        <v/>
      </c>
      <c r="AB63" s="208"/>
      <c r="AC63" s="208"/>
      <c r="AD63" s="208" t="str">
        <f>_xlfn.IFNA(INDEX('3.5.1'!$1:$104,MATCH(AD$4,'3.5.1'!$A:$A,0),MATCH(Summary!$C63,'3.5.1'!$1:$1,0)),"")</f>
        <v/>
      </c>
      <c r="AE63" s="208"/>
      <c r="AF63" s="208"/>
      <c r="AG63" s="208">
        <f>_xlfn.IFNA(INDEX('3.5.1'!$1:$104,MATCH(AG$4,'3.5.1'!$A:$A,0),MATCH(Summary!$C63,'3.5.1'!$1:$1,0)),"")</f>
        <v>298411.61</v>
      </c>
      <c r="AH63" s="208"/>
      <c r="AI63" s="208"/>
      <c r="AJ63" s="208" t="str">
        <f>_xlfn.IFNA(INDEX('3.5.1'!$1:$104,MATCH(AJ$4,'3.5.1'!$A:$A,0),MATCH(Summary!$C63,'3.5.1'!$1:$1,0)),"")</f>
        <v/>
      </c>
      <c r="AK63" s="208"/>
      <c r="AL63" s="208"/>
      <c r="AM63" s="208" t="str">
        <f>_xlfn.IFNA(INDEX('3.5.1'!$1:$104,MATCH(AM$4,'3.5.1'!$A:$A,0),MATCH(Summary!$C63,'3.5.1'!$1:$1,0)),"")</f>
        <v/>
      </c>
      <c r="AN63" s="208"/>
      <c r="AO63" s="208"/>
      <c r="AP63" s="208">
        <f>_xlfn.IFNA(INDEX('3.5.1'!$1:$104,MATCH(AP$4,'3.5.1'!$A:$A,0),MATCH(Summary!$C63,'3.5.1'!$1:$1,0)),"")</f>
        <v>303761.829</v>
      </c>
      <c r="AQ63" s="208"/>
      <c r="AR63" s="208"/>
      <c r="AS63" s="208" t="str">
        <f>_xlfn.IFNA(INDEX('3.5.1'!$1:$104,MATCH(AS$4,'3.5.1'!$A:$A,0),MATCH(Summary!$C63,'3.5.1'!$1:$1,0)),"")</f>
        <v/>
      </c>
      <c r="AT63" s="208"/>
      <c r="AU63" s="208"/>
      <c r="AV63" s="208" t="str">
        <f>_xlfn.IFNA(INDEX('3.5.1'!$1:$104,MATCH(AV$4,'3.5.1'!$A:$A,0),MATCH(Summary!$C63,'3.5.1'!$1:$1,0)),"")</f>
        <v/>
      </c>
      <c r="AW63" s="208"/>
      <c r="AX63" s="208"/>
      <c r="AY63" s="208">
        <f>_xlfn.IFNA(INDEX('3.5.1'!$1:$104,MATCH(AY$4,'3.5.1'!$A:$A,0),MATCH(Summary!$C63,'3.5.1'!$1:$1,0)),"")</f>
        <v>304874.284</v>
      </c>
      <c r="AZ63" s="208"/>
      <c r="BA63" s="208"/>
      <c r="BB63" s="208">
        <f>_xlfn.IFNA(INDEX('3.5.1'!$1:$104,MATCH(BB$4,'3.5.1'!$A:$A,0),MATCH(Summary!$C63,'3.5.1'!$1:$1,0)),"")</f>
        <v>292968.006</v>
      </c>
      <c r="BC63" s="208"/>
      <c r="BD63" s="208"/>
      <c r="BE63" s="208" t="str">
        <f>_xlfn.IFNA(INDEX('3.5.1'!$1:$104,MATCH(BE$4,'3.5.1'!$A:$A,0),MATCH(Summary!$C63,'3.5.1'!$1:$1,0)),"")</f>
        <v/>
      </c>
      <c r="BF63" s="208"/>
      <c r="BG63" s="208"/>
      <c r="BH63" s="208" t="str">
        <f>_xlfn.IFNA(INDEX('3.5.1'!$1:$104,MATCH(BH$4,'3.5.1'!$A:$A,0),MATCH(Summary!$C63,'3.5.1'!$1:$1,0)),"")</f>
        <v/>
      </c>
      <c r="BI63" s="208"/>
      <c r="BJ63" s="208"/>
      <c r="BK63" s="208" t="str">
        <f>_xlfn.IFNA(INDEX('3.5.1'!$1:$104,MATCH(BK$4,'3.5.1'!$A:$A,0),MATCH(Summary!$C63,'3.5.1'!$1:$1,0)),"")</f>
        <v/>
      </c>
    </row>
    <row r="64" s="78" customFormat="1" outlineLevel="2" collapsed="1" spans="1:63" ht="16.5" customHeight="1">
      <c r="A64" s="183"/>
      <c r="B64" s="183"/>
      <c r="C64" s="183" t="s">
        <v>177</v>
      </c>
      <c r="D64" s="203"/>
      <c r="E64" s="203"/>
      <c r="F64" s="218" t="s">
        <v>178</v>
      </c>
      <c r="G64" s="219" t="s">
        <v>179</v>
      </c>
      <c r="H64" s="206">
        <f t="shared" si="2"/>
        <v>0.00924064448353095</v>
      </c>
      <c r="I64" s="207" t="str">
        <f t="shared" si="1"/>
        <v/>
      </c>
      <c r="J64" s="208"/>
      <c r="K64" s="208"/>
      <c r="L64" s="208" t="str">
        <f>_xlfn.IFNA(INDEX('3.5.1'!$1:$104,MATCH(L$4,'3.5.1'!$A:$A,0),MATCH(Summary!$C64,'3.5.1'!$1:$1,0)),"")</f>
        <v/>
      </c>
      <c r="M64" s="208"/>
      <c r="N64" s="208"/>
      <c r="O64" s="208">
        <f>_xlfn.IFNA(INDEX('3.5.1'!$1:$104,MATCH(O$4,'3.5.1'!$A:$A,0),MATCH(Summary!$C64,'3.5.1'!$1:$1,0)),"")</f>
        <v>99687.109</v>
      </c>
      <c r="P64" s="208"/>
      <c r="Q64" s="208"/>
      <c r="R64" s="208" t="str">
        <f>_xlfn.IFNA(INDEX('3.5.1'!$1:$104,MATCH(R$4,'3.5.1'!$A:$A,0),MATCH(Summary!$C64,'3.5.1'!$1:$1,0)),"")</f>
        <v/>
      </c>
      <c r="S64" s="208"/>
      <c r="T64" s="208"/>
      <c r="U64" s="208" t="str">
        <f>_xlfn.IFNA(INDEX('3.5.1'!$1:$104,MATCH(U$4,'3.5.1'!$A:$A,0),MATCH(Summary!$C64,'3.5.1'!$1:$1,0)),"")</f>
        <v/>
      </c>
      <c r="V64" s="208"/>
      <c r="W64" s="208"/>
      <c r="X64" s="208">
        <f>_xlfn.IFNA(INDEX('3.5.1'!$1:$104,MATCH(X$4,'3.5.1'!$A:$A,0),MATCH(Summary!$C64,'3.5.1'!$1:$1,0)),"")</f>
        <v>86607.603</v>
      </c>
      <c r="Y64" s="208"/>
      <c r="Z64" s="208"/>
      <c r="AA64" s="208" t="str">
        <f>_xlfn.IFNA(INDEX('3.5.1'!$1:$104,MATCH(AA$4,'3.5.1'!$A:$A,0),MATCH(Summary!$C64,'3.5.1'!$1:$1,0)),"")</f>
        <v/>
      </c>
      <c r="AB64" s="208"/>
      <c r="AC64" s="208"/>
      <c r="AD64" s="208" t="str">
        <f>_xlfn.IFNA(INDEX('3.5.1'!$1:$104,MATCH(AD$4,'3.5.1'!$A:$A,0),MATCH(Summary!$C64,'3.5.1'!$1:$1,0)),"")</f>
        <v/>
      </c>
      <c r="AE64" s="208"/>
      <c r="AF64" s="208"/>
      <c r="AG64" s="208">
        <f>_xlfn.IFNA(INDEX('3.5.1'!$1:$104,MATCH(AG$4,'3.5.1'!$A:$A,0),MATCH(Summary!$C64,'3.5.1'!$1:$1,0)),"")</f>
        <v>63461.214</v>
      </c>
      <c r="AH64" s="208"/>
      <c r="AI64" s="208"/>
      <c r="AJ64" s="208" t="str">
        <f>_xlfn.IFNA(INDEX('3.5.1'!$1:$104,MATCH(AJ$4,'3.5.1'!$A:$A,0),MATCH(Summary!$C64,'3.5.1'!$1:$1,0)),"")</f>
        <v/>
      </c>
      <c r="AK64" s="208"/>
      <c r="AL64" s="208"/>
      <c r="AM64" s="208" t="str">
        <f>_xlfn.IFNA(INDEX('3.5.1'!$1:$104,MATCH(AM$4,'3.5.1'!$A:$A,0),MATCH(Summary!$C64,'3.5.1'!$1:$1,0)),"")</f>
        <v/>
      </c>
      <c r="AN64" s="208"/>
      <c r="AO64" s="208"/>
      <c r="AP64" s="208">
        <f>_xlfn.IFNA(INDEX('3.5.1'!$1:$104,MATCH(AP$4,'3.5.1'!$A:$A,0),MATCH(Summary!$C64,'3.5.1'!$1:$1,0)),"")</f>
        <v>63510.261</v>
      </c>
      <c r="AQ64" s="208"/>
      <c r="AR64" s="208"/>
      <c r="AS64" s="208" t="str">
        <f>_xlfn.IFNA(INDEX('3.5.1'!$1:$104,MATCH(AS$4,'3.5.1'!$A:$A,0),MATCH(Summary!$C64,'3.5.1'!$1:$1,0)),"")</f>
        <v/>
      </c>
      <c r="AT64" s="208"/>
      <c r="AU64" s="208"/>
      <c r="AV64" s="208" t="str">
        <f>_xlfn.IFNA(INDEX('3.5.1'!$1:$104,MATCH(AV$4,'3.5.1'!$A:$A,0),MATCH(Summary!$C64,'3.5.1'!$1:$1,0)),"")</f>
        <v/>
      </c>
      <c r="AW64" s="208"/>
      <c r="AX64" s="208"/>
      <c r="AY64" s="208">
        <f>_xlfn.IFNA(INDEX('3.5.1'!$1:$104,MATCH(AY$4,'3.5.1'!$A:$A,0),MATCH(Summary!$C64,'3.5.1'!$1:$1,0)),"")</f>
        <v>63239.895</v>
      </c>
      <c r="AZ64" s="208"/>
      <c r="BA64" s="208"/>
      <c r="BB64" s="208">
        <f>_xlfn.IFNA(INDEX('3.5.1'!$1:$104,MATCH(BB$4,'3.5.1'!$A:$A,0),MATCH(Summary!$C64,'3.5.1'!$1:$1,0)),"")</f>
        <v>49168.879</v>
      </c>
      <c r="BC64" s="208"/>
      <c r="BD64" s="208"/>
      <c r="BE64" s="208" t="str">
        <f>_xlfn.IFNA(INDEX('3.5.1'!$1:$104,MATCH(BE$4,'3.5.1'!$A:$A,0),MATCH(Summary!$C64,'3.5.1'!$1:$1,0)),"")</f>
        <v/>
      </c>
      <c r="BF64" s="208"/>
      <c r="BG64" s="208"/>
      <c r="BH64" s="208" t="str">
        <f>_xlfn.IFNA(INDEX('3.5.1'!$1:$104,MATCH(BH$4,'3.5.1'!$A:$A,0),MATCH(Summary!$C64,'3.5.1'!$1:$1,0)),"")</f>
        <v/>
      </c>
      <c r="BI64" s="208"/>
      <c r="BJ64" s="208"/>
      <c r="BK64" s="208" t="str">
        <f>_xlfn.IFNA(INDEX('3.5.1'!$1:$104,MATCH(BK$4,'3.5.1'!$A:$A,0),MATCH(Summary!$C64,'3.5.1'!$1:$1,0)),"")</f>
        <v/>
      </c>
    </row>
    <row r="65" s="78" customFormat="1" outlineLevel="2" spans="1:63" ht="16.5" customHeight="1">
      <c r="A65" s="183"/>
      <c r="B65" s="183"/>
      <c r="C65" s="183" t="s">
        <v>180</v>
      </c>
      <c r="D65" s="203"/>
      <c r="E65" s="203"/>
      <c r="F65" s="218" t="s">
        <v>181</v>
      </c>
      <c r="G65" s="219" t="s">
        <v>182</v>
      </c>
      <c r="H65" s="206">
        <f t="shared" si="2"/>
        <v>0.285182477021706</v>
      </c>
      <c r="I65" s="207" t="str">
        <f t="shared" si="1"/>
        <v/>
      </c>
      <c r="J65" s="208"/>
      <c r="K65" s="208"/>
      <c r="L65" s="208" t="str">
        <f>_xlfn.IFNA(INDEX('3.5.1'!$1:$104,MATCH(L$4,'3.5.1'!$A:$A,0),MATCH(Summary!$C65,'3.5.1'!$1:$1,0)),"")</f>
        <v/>
      </c>
      <c r="M65" s="208"/>
      <c r="N65" s="208"/>
      <c r="O65" s="208">
        <f>_xlfn.IFNA(INDEX('3.5.1'!$1:$104,MATCH(O$4,'3.5.1'!$A:$A,0),MATCH(Summary!$C65,'3.5.1'!$1:$1,0)),"")</f>
        <v>3076518.821</v>
      </c>
      <c r="P65" s="208"/>
      <c r="Q65" s="208"/>
      <c r="R65" s="208" t="str">
        <f>_xlfn.IFNA(INDEX('3.5.1'!$1:$104,MATCH(R$4,'3.5.1'!$A:$A,0),MATCH(Summary!$C65,'3.5.1'!$1:$1,0)),"")</f>
        <v/>
      </c>
      <c r="S65" s="208"/>
      <c r="T65" s="208"/>
      <c r="U65" s="208" t="str">
        <f>_xlfn.IFNA(INDEX('3.5.1'!$1:$104,MATCH(U$4,'3.5.1'!$A:$A,0),MATCH(Summary!$C65,'3.5.1'!$1:$1,0)),"")</f>
        <v/>
      </c>
      <c r="V65" s="208"/>
      <c r="W65" s="208"/>
      <c r="X65" s="208">
        <f>_xlfn.IFNA(INDEX('3.5.1'!$1:$104,MATCH(X$4,'3.5.1'!$A:$A,0),MATCH(Summary!$C65,'3.5.1'!$1:$1,0)),"")</f>
        <v>3001339.74</v>
      </c>
      <c r="Y65" s="208"/>
      <c r="Z65" s="208"/>
      <c r="AA65" s="208" t="str">
        <f>_xlfn.IFNA(INDEX('3.5.1'!$1:$104,MATCH(AA$4,'3.5.1'!$A:$A,0),MATCH(Summary!$C65,'3.5.1'!$1:$1,0)),"")</f>
        <v/>
      </c>
      <c r="AB65" s="208"/>
      <c r="AC65" s="208"/>
      <c r="AD65" s="208" t="str">
        <f>_xlfn.IFNA(INDEX('3.5.1'!$1:$104,MATCH(AD$4,'3.5.1'!$A:$A,0),MATCH(Summary!$C65,'3.5.1'!$1:$1,0)),"")</f>
        <v/>
      </c>
      <c r="AE65" s="208"/>
      <c r="AF65" s="208"/>
      <c r="AG65" s="208">
        <f>_xlfn.IFNA(INDEX('3.5.1'!$1:$104,MATCH(AG$4,'3.5.1'!$A:$A,0),MATCH(Summary!$C65,'3.5.1'!$1:$1,0)),"")</f>
        <v>2922795.223</v>
      </c>
      <c r="AH65" s="208"/>
      <c r="AI65" s="208"/>
      <c r="AJ65" s="208" t="str">
        <f>_xlfn.IFNA(INDEX('3.5.1'!$1:$104,MATCH(AJ$4,'3.5.1'!$A:$A,0),MATCH(Summary!$C65,'3.5.1'!$1:$1,0)),"")</f>
        <v/>
      </c>
      <c r="AK65" s="208"/>
      <c r="AL65" s="208"/>
      <c r="AM65" s="208" t="str">
        <f>_xlfn.IFNA(INDEX('3.5.1'!$1:$104,MATCH(AM$4,'3.5.1'!$A:$A,0),MATCH(Summary!$C65,'3.5.1'!$1:$1,0)),"")</f>
        <v/>
      </c>
      <c r="AN65" s="208"/>
      <c r="AO65" s="208"/>
      <c r="AP65" s="208">
        <f>_xlfn.IFNA(INDEX('3.5.1'!$1:$104,MATCH(AP$4,'3.5.1'!$A:$A,0),MATCH(Summary!$C65,'3.5.1'!$1:$1,0)),"")</f>
        <v>2879906.113</v>
      </c>
      <c r="AQ65" s="208"/>
      <c r="AR65" s="208"/>
      <c r="AS65" s="208" t="str">
        <f>_xlfn.IFNA(INDEX('3.5.1'!$1:$104,MATCH(AS$4,'3.5.1'!$A:$A,0),MATCH(Summary!$C65,'3.5.1'!$1:$1,0)),"")</f>
        <v/>
      </c>
      <c r="AT65" s="208"/>
      <c r="AU65" s="208"/>
      <c r="AV65" s="208" t="str">
        <f>_xlfn.IFNA(INDEX('3.5.1'!$1:$104,MATCH(AV$4,'3.5.1'!$A:$A,0),MATCH(Summary!$C65,'3.5.1'!$1:$1,0)),"")</f>
        <v/>
      </c>
      <c r="AW65" s="208"/>
      <c r="AX65" s="208"/>
      <c r="AY65" s="208">
        <f>_xlfn.IFNA(INDEX('3.5.1'!$1:$104,MATCH(AY$4,'3.5.1'!$A:$A,0),MATCH(Summary!$C65,'3.5.1'!$1:$1,0)),"")</f>
        <v>2845525.356</v>
      </c>
      <c r="AZ65" s="208"/>
      <c r="BA65" s="208"/>
      <c r="BB65" s="208">
        <f>_xlfn.IFNA(INDEX('3.5.1'!$1:$104,MATCH(BB$4,'3.5.1'!$A:$A,0),MATCH(Summary!$C65,'3.5.1'!$1:$1,0)),"")</f>
        <v>2795671.762</v>
      </c>
      <c r="BC65" s="208"/>
      <c r="BD65" s="208"/>
      <c r="BE65" s="208" t="str">
        <f>_xlfn.IFNA(INDEX('3.5.1'!$1:$104,MATCH(BE$4,'3.5.1'!$A:$A,0),MATCH(Summary!$C65,'3.5.1'!$1:$1,0)),"")</f>
        <v/>
      </c>
      <c r="BF65" s="208"/>
      <c r="BG65" s="208"/>
      <c r="BH65" s="208" t="str">
        <f>_xlfn.IFNA(INDEX('3.5.1'!$1:$104,MATCH(BH$4,'3.5.1'!$A:$A,0),MATCH(Summary!$C65,'3.5.1'!$1:$1,0)),"")</f>
        <v/>
      </c>
      <c r="BI65" s="208"/>
      <c r="BJ65" s="208"/>
      <c r="BK65" s="208" t="str">
        <f>_xlfn.IFNA(INDEX('3.5.1'!$1:$104,MATCH(BK$4,'3.5.1'!$A:$A,0),MATCH(Summary!$C65,'3.5.1'!$1:$1,0)),"")</f>
        <v/>
      </c>
    </row>
    <row r="66" s="78" customFormat="1" outlineLevel="3" spans="1:63" ht="16.5" customHeight="1">
      <c r="A66" s="183"/>
      <c r="B66" s="183"/>
      <c r="C66" s="183" t="s">
        <v>183</v>
      </c>
      <c r="D66" s="203"/>
      <c r="E66" s="203"/>
      <c r="F66" s="203" t="s">
        <v>184</v>
      </c>
      <c r="G66" s="205" t="s">
        <v>185</v>
      </c>
      <c r="H66" s="206">
        <f t="shared" si="2"/>
        <v>0.0155373587653013</v>
      </c>
      <c r="I66" s="207" t="str">
        <f t="shared" si="1"/>
        <v/>
      </c>
      <c r="J66" s="208"/>
      <c r="K66" s="208"/>
      <c r="L66" s="208" t="str">
        <f>_xlfn.IFNA(INDEX('3.5.1'!$1:$104,MATCH(L$4,'3.5.1'!$A:$A,0),MATCH(Summary!$C66,'3.5.1'!$1:$1,0)),"")</f>
        <v/>
      </c>
      <c r="M66" s="208"/>
      <c r="N66" s="208"/>
      <c r="O66" s="208">
        <f>_xlfn.IFNA(INDEX('3.5.1'!$1:$104,MATCH(O$4,'3.5.1'!$A:$A,0),MATCH(Summary!$C66,'3.5.1'!$1:$1,0)),"")</f>
        <v>167615.406</v>
      </c>
      <c r="P66" s="208"/>
      <c r="Q66" s="208"/>
      <c r="R66" s="208" t="str">
        <f>_xlfn.IFNA(INDEX('3.5.1'!$1:$104,MATCH(R$4,'3.5.1'!$A:$A,0),MATCH(Summary!$C66,'3.5.1'!$1:$1,0)),"")</f>
        <v/>
      </c>
      <c r="S66" s="208"/>
      <c r="T66" s="208"/>
      <c r="U66" s="208" t="str">
        <f>_xlfn.IFNA(INDEX('3.5.1'!$1:$104,MATCH(U$4,'3.5.1'!$A:$A,0),MATCH(Summary!$C66,'3.5.1'!$1:$1,0)),"")</f>
        <v/>
      </c>
      <c r="V66" s="208"/>
      <c r="W66" s="208"/>
      <c r="X66" s="208">
        <f>_xlfn.IFNA(INDEX('3.5.1'!$1:$104,MATCH(X$4,'3.5.1'!$A:$A,0),MATCH(Summary!$C66,'3.5.1'!$1:$1,0)),"")</f>
        <v>156519.886</v>
      </c>
      <c r="Y66" s="208"/>
      <c r="Z66" s="208"/>
      <c r="AA66" s="208" t="str">
        <f>_xlfn.IFNA(INDEX('3.5.1'!$1:$104,MATCH(AA$4,'3.5.1'!$A:$A,0),MATCH(Summary!$C66,'3.5.1'!$1:$1,0)),"")</f>
        <v/>
      </c>
      <c r="AB66" s="208"/>
      <c r="AC66" s="208"/>
      <c r="AD66" s="208" t="str">
        <f>_xlfn.IFNA(INDEX('3.5.1'!$1:$104,MATCH(AD$4,'3.5.1'!$A:$A,0),MATCH(Summary!$C66,'3.5.1'!$1:$1,0)),"")</f>
        <v/>
      </c>
      <c r="AE66" s="208"/>
      <c r="AF66" s="208"/>
      <c r="AG66" s="208">
        <f>_xlfn.IFNA(INDEX('3.5.1'!$1:$104,MATCH(AG$4,'3.5.1'!$A:$A,0),MATCH(Summary!$C66,'3.5.1'!$1:$1,0)),"")</f>
        <v>153280.41</v>
      </c>
      <c r="AH66" s="208"/>
      <c r="AI66" s="208"/>
      <c r="AJ66" s="208" t="str">
        <f>_xlfn.IFNA(INDEX('3.5.1'!$1:$104,MATCH(AJ$4,'3.5.1'!$A:$A,0),MATCH(Summary!$C66,'3.5.1'!$1:$1,0)),"")</f>
        <v/>
      </c>
      <c r="AK66" s="208"/>
      <c r="AL66" s="208"/>
      <c r="AM66" s="208" t="str">
        <f>_xlfn.IFNA(INDEX('3.5.1'!$1:$104,MATCH(AM$4,'3.5.1'!$A:$A,0),MATCH(Summary!$C66,'3.5.1'!$1:$1,0)),"")</f>
        <v/>
      </c>
      <c r="AN66" s="208"/>
      <c r="AO66" s="208"/>
      <c r="AP66" s="208">
        <f>_xlfn.IFNA(INDEX('3.5.1'!$1:$104,MATCH(AP$4,'3.5.1'!$A:$A,0),MATCH(Summary!$C66,'3.5.1'!$1:$1,0)),"")</f>
        <v>152236.385</v>
      </c>
      <c r="AQ66" s="208"/>
      <c r="AR66" s="208"/>
      <c r="AS66" s="208" t="str">
        <f>_xlfn.IFNA(INDEX('3.5.1'!$1:$104,MATCH(AS$4,'3.5.1'!$A:$A,0),MATCH(Summary!$C66,'3.5.1'!$1:$1,0)),"")</f>
        <v/>
      </c>
      <c r="AT66" s="208"/>
      <c r="AU66" s="208"/>
      <c r="AV66" s="208" t="str">
        <f>_xlfn.IFNA(INDEX('3.5.1'!$1:$104,MATCH(AV$4,'3.5.1'!$A:$A,0),MATCH(Summary!$C66,'3.5.1'!$1:$1,0)),"")</f>
        <v/>
      </c>
      <c r="AW66" s="208"/>
      <c r="AX66" s="208"/>
      <c r="AY66" s="208">
        <f>_xlfn.IFNA(INDEX('3.5.1'!$1:$104,MATCH(AY$4,'3.5.1'!$A:$A,0),MATCH(Summary!$C66,'3.5.1'!$1:$1,0)),"")</f>
        <v>141918.078</v>
      </c>
      <c r="AZ66" s="208"/>
      <c r="BA66" s="208"/>
      <c r="BB66" s="208">
        <f>_xlfn.IFNA(INDEX('3.5.1'!$1:$104,MATCH(BB$4,'3.5.1'!$A:$A,0),MATCH(Summary!$C66,'3.5.1'!$1:$1,0)),"")</f>
        <v>132720.032</v>
      </c>
      <c r="BC66" s="208"/>
      <c r="BD66" s="208"/>
      <c r="BE66" s="208" t="str">
        <f>_xlfn.IFNA(INDEX('3.5.1'!$1:$104,MATCH(BE$4,'3.5.1'!$A:$A,0),MATCH(Summary!$C66,'3.5.1'!$1:$1,0)),"")</f>
        <v/>
      </c>
      <c r="BF66" s="208"/>
      <c r="BG66" s="208"/>
      <c r="BH66" s="208" t="str">
        <f>_xlfn.IFNA(INDEX('3.5.1'!$1:$104,MATCH(BH$4,'3.5.1'!$A:$A,0),MATCH(Summary!$C66,'3.5.1'!$1:$1,0)),"")</f>
        <v/>
      </c>
      <c r="BI66" s="208"/>
      <c r="BJ66" s="208"/>
      <c r="BK66" s="208" t="str">
        <f>_xlfn.IFNA(INDEX('3.5.1'!$1:$104,MATCH(BK$4,'3.5.1'!$A:$A,0),MATCH(Summary!$C66,'3.5.1'!$1:$1,0)),"")</f>
        <v/>
      </c>
    </row>
    <row r="67" s="78" customFormat="1" outlineLevel="3" spans="1:63" ht="16.5" customHeight="1">
      <c r="A67" s="183"/>
      <c r="B67" s="183"/>
      <c r="C67" s="183"/>
      <c r="D67" s="203"/>
      <c r="E67" s="203"/>
      <c r="F67" s="203" t="s">
        <v>186</v>
      </c>
      <c r="G67" s="205" t="s">
        <v>187</v>
      </c>
      <c r="H67" s="206">
        <f t="shared" si="2"/>
        <v>0</v>
      </c>
      <c r="I67" s="207" t="str">
        <f t="shared" si="1"/>
        <v/>
      </c>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row>
    <row r="68" s="78" customFormat="1" outlineLevel="3" spans="1:63" ht="16.5" customHeight="1">
      <c r="A68" s="183"/>
      <c r="B68" s="183"/>
      <c r="C68" s="183"/>
      <c r="D68" s="203"/>
      <c r="E68" s="203"/>
      <c r="F68" s="203" t="s">
        <v>188</v>
      </c>
      <c r="G68" s="205" t="s">
        <v>189</v>
      </c>
      <c r="H68" s="206">
        <f t="shared" si="2"/>
        <v>0</v>
      </c>
      <c r="I68" s="207" t="str">
        <f t="shared" si="1"/>
        <v/>
      </c>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row>
    <row r="69" s="79" customFormat="1" outlineLevel="3" spans="1:63" ht="16.5" customHeight="1">
      <c r="A69" s="183"/>
      <c r="B69" s="183"/>
      <c r="C69" s="183" t="s">
        <v>190</v>
      </c>
      <c r="D69" s="198"/>
      <c r="E69" s="198"/>
      <c r="F69" s="198" t="s">
        <v>191</v>
      </c>
      <c r="G69" s="198" t="s">
        <v>192</v>
      </c>
      <c r="H69" s="200">
        <f t="shared" si="2"/>
        <v>0.181531481883128</v>
      </c>
      <c r="I69" s="201" t="str">
        <f t="shared" si="1"/>
        <v/>
      </c>
      <c r="J69" s="202"/>
      <c r="K69" s="202"/>
      <c r="L69" s="202" t="str">
        <f>_xlfn.IFNA(INDEX('3.5.1'!$1:$104,MATCH(L$4,'3.5.1'!$A:$A,0),MATCH(Summary!$C69,'3.5.1'!$1:$1,0)),"")</f>
        <v/>
      </c>
      <c r="M69" s="202"/>
      <c r="N69" s="202"/>
      <c r="O69" s="202">
        <f>_xlfn.IFNA(INDEX('3.5.1'!$1:$104,MATCH(O$4,'3.5.1'!$A:$A,0),MATCH(Summary!$C69,'3.5.1'!$1:$1,0)),"")</f>
        <v>1958342.695</v>
      </c>
      <c r="P69" s="202"/>
      <c r="Q69" s="202"/>
      <c r="R69" s="202" t="str">
        <f>_xlfn.IFNA(INDEX('3.5.1'!$1:$104,MATCH(R$4,'3.5.1'!$A:$A,0),MATCH(Summary!$C69,'3.5.1'!$1:$1,0)),"")</f>
        <v/>
      </c>
      <c r="S69" s="202"/>
      <c r="T69" s="202"/>
      <c r="U69" s="202" t="str">
        <f>_xlfn.IFNA(INDEX('3.5.1'!$1:$104,MATCH(U$4,'3.5.1'!$A:$A,0),MATCH(Summary!$C69,'3.5.1'!$1:$1,0)),"")</f>
        <v/>
      </c>
      <c r="V69" s="202"/>
      <c r="W69" s="202"/>
      <c r="X69" s="202">
        <f>_xlfn.IFNA(INDEX('3.5.1'!$1:$104,MATCH(X$4,'3.5.1'!$A:$A,0),MATCH(Summary!$C69,'3.5.1'!$1:$1,0)),"")</f>
        <v>1937565.885</v>
      </c>
      <c r="Y69" s="202"/>
      <c r="Z69" s="202"/>
      <c r="AA69" s="202" t="str">
        <f>_xlfn.IFNA(INDEX('3.5.1'!$1:$104,MATCH(AA$4,'3.5.1'!$A:$A,0),MATCH(Summary!$C69,'3.5.1'!$1:$1,0)),"")</f>
        <v/>
      </c>
      <c r="AB69" s="202"/>
      <c r="AC69" s="202"/>
      <c r="AD69" s="202" t="str">
        <f>_xlfn.IFNA(INDEX('3.5.1'!$1:$104,MATCH(AD$4,'3.5.1'!$A:$A,0),MATCH(Summary!$C69,'3.5.1'!$1:$1,0)),"")</f>
        <v/>
      </c>
      <c r="AE69" s="202"/>
      <c r="AF69" s="202"/>
      <c r="AG69" s="202">
        <f>_xlfn.IFNA(INDEX('3.5.1'!$1:$104,MATCH(AG$4,'3.5.1'!$A:$A,0),MATCH(Summary!$C69,'3.5.1'!$1:$1,0)),"")</f>
        <v>1920476.489</v>
      </c>
      <c r="AH69" s="202"/>
      <c r="AI69" s="202"/>
      <c r="AJ69" s="202" t="str">
        <f>_xlfn.IFNA(INDEX('3.5.1'!$1:$104,MATCH(AJ$4,'3.5.1'!$A:$A,0),MATCH(Summary!$C69,'3.5.1'!$1:$1,0)),"")</f>
        <v/>
      </c>
      <c r="AK69" s="202"/>
      <c r="AL69" s="202"/>
      <c r="AM69" s="202" t="str">
        <f>_xlfn.IFNA(INDEX('3.5.1'!$1:$104,MATCH(AM$4,'3.5.1'!$A:$A,0),MATCH(Summary!$C69,'3.5.1'!$1:$1,0)),"")</f>
        <v/>
      </c>
      <c r="AN69" s="202"/>
      <c r="AO69" s="202"/>
      <c r="AP69" s="202">
        <f>_xlfn.IFNA(INDEX('3.5.1'!$1:$104,MATCH(AP$4,'3.5.1'!$A:$A,0),MATCH(Summary!$C69,'3.5.1'!$1:$1,0)),"")</f>
        <v>1894346.998</v>
      </c>
      <c r="AQ69" s="202"/>
      <c r="AR69" s="202"/>
      <c r="AS69" s="202" t="str">
        <f>_xlfn.IFNA(INDEX('3.5.1'!$1:$104,MATCH(AS$4,'3.5.1'!$A:$A,0),MATCH(Summary!$C69,'3.5.1'!$1:$1,0)),"")</f>
        <v/>
      </c>
      <c r="AT69" s="202"/>
      <c r="AU69" s="202"/>
      <c r="AV69" s="202" t="str">
        <f>_xlfn.IFNA(INDEX('3.5.1'!$1:$104,MATCH(AV$4,'3.5.1'!$A:$A,0),MATCH(Summary!$C69,'3.5.1'!$1:$1,0)),"")</f>
        <v/>
      </c>
      <c r="AW69" s="202"/>
      <c r="AX69" s="202"/>
      <c r="AY69" s="202">
        <f>_xlfn.IFNA(INDEX('3.5.1'!$1:$104,MATCH(AY$4,'3.5.1'!$A:$A,0),MATCH(Summary!$C69,'3.5.1'!$1:$1,0)),"")</f>
        <v>1889329.495</v>
      </c>
      <c r="AZ69" s="202"/>
      <c r="BA69" s="202"/>
      <c r="BB69" s="202">
        <f>_xlfn.IFNA(INDEX('3.5.1'!$1:$104,MATCH(BB$4,'3.5.1'!$A:$A,0),MATCH(Summary!$C69,'3.5.1'!$1:$1,0)),"")</f>
        <v>1873532.467</v>
      </c>
      <c r="BC69" s="202"/>
      <c r="BD69" s="202"/>
      <c r="BE69" s="202" t="str">
        <f>_xlfn.IFNA(INDEX('3.5.1'!$1:$104,MATCH(BE$4,'3.5.1'!$A:$A,0),MATCH(Summary!$C69,'3.5.1'!$1:$1,0)),"")</f>
        <v/>
      </c>
      <c r="BF69" s="202"/>
      <c r="BG69" s="202"/>
      <c r="BH69" s="202" t="str">
        <f>_xlfn.IFNA(INDEX('3.5.1'!$1:$104,MATCH(BH$4,'3.5.1'!$A:$A,0),MATCH(Summary!$C69,'3.5.1'!$1:$1,0)),"")</f>
        <v/>
      </c>
      <c r="BI69" s="202"/>
      <c r="BJ69" s="202"/>
      <c r="BK69" s="202" t="str">
        <f>_xlfn.IFNA(INDEX('3.5.1'!$1:$104,MATCH(BK$4,'3.5.1'!$A:$A,0),MATCH(Summary!$C69,'3.5.1'!$1:$1,0)),"")</f>
        <v/>
      </c>
    </row>
    <row r="70" s="78" customFormat="1" outlineLevel="3" spans="1:63" ht="16.5" customHeight="1">
      <c r="A70" s="183"/>
      <c r="B70" s="183"/>
      <c r="C70" s="183" t="s">
        <v>193</v>
      </c>
      <c r="D70" s="203"/>
      <c r="E70" s="203"/>
      <c r="F70" s="203" t="s">
        <v>194</v>
      </c>
      <c r="G70" s="205" t="s">
        <v>195</v>
      </c>
      <c r="H70" s="206">
        <f t="shared" si="2"/>
        <v>0.0137932425351944</v>
      </c>
      <c r="I70" s="207" t="str">
        <f t="shared" si="1"/>
        <v/>
      </c>
      <c r="J70" s="208"/>
      <c r="K70" s="208"/>
      <c r="L70" s="208" t="str">
        <f>_xlfn.IFNA(INDEX('3.5.1'!$1:$104,MATCH(L$4,'3.5.1'!$A:$A,0),MATCH(Summary!$C70,'3.5.1'!$1:$1,0)),"")</f>
        <v/>
      </c>
      <c r="M70" s="208"/>
      <c r="N70" s="208"/>
      <c r="O70" s="208">
        <f>_xlfn.IFNA(INDEX('3.5.1'!$1:$104,MATCH(O$4,'3.5.1'!$A:$A,0),MATCH(Summary!$C70,'3.5.1'!$1:$1,0)),"")</f>
        <v>148800.062</v>
      </c>
      <c r="P70" s="208"/>
      <c r="Q70" s="208"/>
      <c r="R70" s="208" t="str">
        <f>_xlfn.IFNA(INDEX('3.5.1'!$1:$104,MATCH(R$4,'3.5.1'!$A:$A,0),MATCH(Summary!$C70,'3.5.1'!$1:$1,0)),"")</f>
        <v/>
      </c>
      <c r="S70" s="208"/>
      <c r="T70" s="208"/>
      <c r="U70" s="208" t="str">
        <f>_xlfn.IFNA(INDEX('3.5.1'!$1:$104,MATCH(U$4,'3.5.1'!$A:$A,0),MATCH(Summary!$C70,'3.5.1'!$1:$1,0)),"")</f>
        <v/>
      </c>
      <c r="V70" s="208"/>
      <c r="W70" s="208"/>
      <c r="X70" s="208">
        <f>_xlfn.IFNA(INDEX('3.5.1'!$1:$104,MATCH(X$4,'3.5.1'!$A:$A,0),MATCH(Summary!$C70,'3.5.1'!$1:$1,0)),"")</f>
        <v>151892.099</v>
      </c>
      <c r="Y70" s="208"/>
      <c r="Z70" s="208"/>
      <c r="AA70" s="208" t="str">
        <f>_xlfn.IFNA(INDEX('3.5.1'!$1:$104,MATCH(AA$4,'3.5.1'!$A:$A,0),MATCH(Summary!$C70,'3.5.1'!$1:$1,0)),"")</f>
        <v/>
      </c>
      <c r="AB70" s="208"/>
      <c r="AC70" s="208"/>
      <c r="AD70" s="208" t="str">
        <f>_xlfn.IFNA(INDEX('3.5.1'!$1:$104,MATCH(AD$4,'3.5.1'!$A:$A,0),MATCH(Summary!$C70,'3.5.1'!$1:$1,0)),"")</f>
        <v/>
      </c>
      <c r="AE70" s="208"/>
      <c r="AF70" s="208"/>
      <c r="AG70" s="208">
        <f>_xlfn.IFNA(INDEX('3.5.1'!$1:$104,MATCH(AG$4,'3.5.1'!$A:$A,0),MATCH(Summary!$C70,'3.5.1'!$1:$1,0)),"")</f>
        <v>157738.367</v>
      </c>
      <c r="AH70" s="208"/>
      <c r="AI70" s="208"/>
      <c r="AJ70" s="208" t="str">
        <f>_xlfn.IFNA(INDEX('3.5.1'!$1:$104,MATCH(AJ$4,'3.5.1'!$A:$A,0),MATCH(Summary!$C70,'3.5.1'!$1:$1,0)),"")</f>
        <v/>
      </c>
      <c r="AK70" s="208"/>
      <c r="AL70" s="208"/>
      <c r="AM70" s="208" t="str">
        <f>_xlfn.IFNA(INDEX('3.5.1'!$1:$104,MATCH(AM$4,'3.5.1'!$A:$A,0),MATCH(Summary!$C70,'3.5.1'!$1:$1,0)),"")</f>
        <v/>
      </c>
      <c r="AN70" s="208"/>
      <c r="AO70" s="208"/>
      <c r="AP70" s="208">
        <f>_xlfn.IFNA(INDEX('3.5.1'!$1:$104,MATCH(AP$4,'3.5.1'!$A:$A,0),MATCH(Summary!$C70,'3.5.1'!$1:$1,0)),"")</f>
        <v>145656.063</v>
      </c>
      <c r="AQ70" s="208"/>
      <c r="AR70" s="208"/>
      <c r="AS70" s="208" t="str">
        <f>_xlfn.IFNA(INDEX('3.5.1'!$1:$104,MATCH(AS$4,'3.5.1'!$A:$A,0),MATCH(Summary!$C70,'3.5.1'!$1:$1,0)),"")</f>
        <v/>
      </c>
      <c r="AT70" s="208"/>
      <c r="AU70" s="208"/>
      <c r="AV70" s="208" t="str">
        <f>_xlfn.IFNA(INDEX('3.5.1'!$1:$104,MATCH(AV$4,'3.5.1'!$A:$A,0),MATCH(Summary!$C70,'3.5.1'!$1:$1,0)),"")</f>
        <v/>
      </c>
      <c r="AW70" s="208"/>
      <c r="AX70" s="208"/>
      <c r="AY70" s="208">
        <f>_xlfn.IFNA(INDEX('3.5.1'!$1:$104,MATCH(AY$4,'3.5.1'!$A:$A,0),MATCH(Summary!$C70,'3.5.1'!$1:$1,0)),"")</f>
        <v>143687.936</v>
      </c>
      <c r="AZ70" s="208"/>
      <c r="BA70" s="208"/>
      <c r="BB70" s="208">
        <f>_xlfn.IFNA(INDEX('3.5.1'!$1:$104,MATCH(BB$4,'3.5.1'!$A:$A,0),MATCH(Summary!$C70,'3.5.1'!$1:$1,0)),"")</f>
        <v>154585.216</v>
      </c>
      <c r="BC70" s="208"/>
      <c r="BD70" s="208"/>
      <c r="BE70" s="208" t="str">
        <f>_xlfn.IFNA(INDEX('3.5.1'!$1:$104,MATCH(BE$4,'3.5.1'!$A:$A,0),MATCH(Summary!$C70,'3.5.1'!$1:$1,0)),"")</f>
        <v/>
      </c>
      <c r="BF70" s="208"/>
      <c r="BG70" s="208"/>
      <c r="BH70" s="208" t="str">
        <f>_xlfn.IFNA(INDEX('3.5.1'!$1:$104,MATCH(BH$4,'3.5.1'!$A:$A,0),MATCH(Summary!$C70,'3.5.1'!$1:$1,0)),"")</f>
        <v/>
      </c>
      <c r="BI70" s="208"/>
      <c r="BJ70" s="208"/>
      <c r="BK70" s="208" t="str">
        <f>_xlfn.IFNA(INDEX('3.5.1'!$1:$104,MATCH(BK$4,'3.5.1'!$A:$A,0),MATCH(Summary!$C70,'3.5.1'!$1:$1,0)),"")</f>
        <v/>
      </c>
    </row>
    <row r="71" s="78" customFormat="1" outlineLevel="3" spans="1:63" ht="16.5" customHeight="1">
      <c r="A71" s="183"/>
      <c r="B71" s="183"/>
      <c r="C71" s="183" t="s">
        <v>196</v>
      </c>
      <c r="D71" s="203"/>
      <c r="E71" s="203"/>
      <c r="F71" s="203" t="s">
        <v>197</v>
      </c>
      <c r="G71" s="205" t="s">
        <v>198</v>
      </c>
      <c r="H71" s="206">
        <f t="shared" si="2"/>
        <v>0.000702916046135393</v>
      </c>
      <c r="I71" s="207" t="str">
        <f t="shared" si="1"/>
        <v/>
      </c>
      <c r="J71" s="208"/>
      <c r="K71" s="208"/>
      <c r="L71" s="208" t="str">
        <f>_xlfn.IFNA(INDEX('3.5.1'!$1:$104,MATCH(L$4,'3.5.1'!$A:$A,0),MATCH(Summary!$C71,'3.5.1'!$1:$1,0)),"")</f>
        <v/>
      </c>
      <c r="M71" s="208"/>
      <c r="N71" s="208"/>
      <c r="O71" s="208">
        <f>_xlfn.IFNA(INDEX('3.5.1'!$1:$104,MATCH(O$4,'3.5.1'!$A:$A,0),MATCH(Summary!$C71,'3.5.1'!$1:$1,0)),"")</f>
        <v>7582.985</v>
      </c>
      <c r="P71" s="208"/>
      <c r="Q71" s="208"/>
      <c r="R71" s="208" t="str">
        <f>_xlfn.IFNA(INDEX('3.5.1'!$1:$104,MATCH(R$4,'3.5.1'!$A:$A,0),MATCH(Summary!$C71,'3.5.1'!$1:$1,0)),"")</f>
        <v/>
      </c>
      <c r="S71" s="208"/>
      <c r="T71" s="208"/>
      <c r="U71" s="208" t="str">
        <f>_xlfn.IFNA(INDEX('3.5.1'!$1:$104,MATCH(U$4,'3.5.1'!$A:$A,0),MATCH(Summary!$C71,'3.5.1'!$1:$1,0)),"")</f>
        <v/>
      </c>
      <c r="V71" s="208"/>
      <c r="W71" s="208"/>
      <c r="X71" s="208">
        <f>_xlfn.IFNA(INDEX('3.5.1'!$1:$104,MATCH(X$4,'3.5.1'!$A:$A,0),MATCH(Summary!$C71,'3.5.1'!$1:$1,0)),"")</f>
        <v>6885.071</v>
      </c>
      <c r="Y71" s="208"/>
      <c r="Z71" s="208"/>
      <c r="AA71" s="208" t="str">
        <f>_xlfn.IFNA(INDEX('3.5.1'!$1:$104,MATCH(AA$4,'3.5.1'!$A:$A,0),MATCH(Summary!$C71,'3.5.1'!$1:$1,0)),"")</f>
        <v/>
      </c>
      <c r="AB71" s="208"/>
      <c r="AC71" s="208"/>
      <c r="AD71" s="208" t="str">
        <f>_xlfn.IFNA(INDEX('3.5.1'!$1:$104,MATCH(AD$4,'3.5.1'!$A:$A,0),MATCH(Summary!$C71,'3.5.1'!$1:$1,0)),"")</f>
        <v/>
      </c>
      <c r="AE71" s="208"/>
      <c r="AF71" s="208"/>
      <c r="AG71" s="208">
        <f>_xlfn.IFNA(INDEX('3.5.1'!$1:$104,MATCH(AG$4,'3.5.1'!$A:$A,0),MATCH(Summary!$C71,'3.5.1'!$1:$1,0)),"")</f>
        <v>5630.61</v>
      </c>
      <c r="AH71" s="208"/>
      <c r="AI71" s="208"/>
      <c r="AJ71" s="208" t="str">
        <f>_xlfn.IFNA(INDEX('3.5.1'!$1:$104,MATCH(AJ$4,'3.5.1'!$A:$A,0),MATCH(Summary!$C71,'3.5.1'!$1:$1,0)),"")</f>
        <v/>
      </c>
      <c r="AK71" s="208"/>
      <c r="AL71" s="208"/>
      <c r="AM71" s="208" t="str">
        <f>_xlfn.IFNA(INDEX('3.5.1'!$1:$104,MATCH(AM$4,'3.5.1'!$A:$A,0),MATCH(Summary!$C71,'3.5.1'!$1:$1,0)),"")</f>
        <v/>
      </c>
      <c r="AN71" s="208"/>
      <c r="AO71" s="208"/>
      <c r="AP71" s="208">
        <f>_xlfn.IFNA(INDEX('3.5.1'!$1:$104,MATCH(AP$4,'3.5.1'!$A:$A,0),MATCH(Summary!$C71,'3.5.1'!$1:$1,0)),"")</f>
        <v>5576.78</v>
      </c>
      <c r="AQ71" s="208"/>
      <c r="AR71" s="208"/>
      <c r="AS71" s="208" t="str">
        <f>_xlfn.IFNA(INDEX('3.5.1'!$1:$104,MATCH(AS$4,'3.5.1'!$A:$A,0),MATCH(Summary!$C71,'3.5.1'!$1:$1,0)),"")</f>
        <v/>
      </c>
      <c r="AT71" s="208"/>
      <c r="AU71" s="208"/>
      <c r="AV71" s="208" t="str">
        <f>_xlfn.IFNA(INDEX('3.5.1'!$1:$104,MATCH(AV$4,'3.5.1'!$A:$A,0),MATCH(Summary!$C71,'3.5.1'!$1:$1,0)),"")</f>
        <v/>
      </c>
      <c r="AW71" s="208"/>
      <c r="AX71" s="208"/>
      <c r="AY71" s="208">
        <f>_xlfn.IFNA(INDEX('3.5.1'!$1:$104,MATCH(AY$4,'3.5.1'!$A:$A,0),MATCH(Summary!$C71,'3.5.1'!$1:$1,0)),"")</f>
        <v>5638.183</v>
      </c>
      <c r="AZ71" s="208"/>
      <c r="BA71" s="208"/>
      <c r="BB71" s="208">
        <f>_xlfn.IFNA(INDEX('3.5.1'!$1:$104,MATCH(BB$4,'3.5.1'!$A:$A,0),MATCH(Summary!$C71,'3.5.1'!$1:$1,0)),"")</f>
        <v>5403.246</v>
      </c>
      <c r="BC71" s="208"/>
      <c r="BD71" s="208"/>
      <c r="BE71" s="208" t="str">
        <f>_xlfn.IFNA(INDEX('3.5.1'!$1:$104,MATCH(BE$4,'3.5.1'!$A:$A,0),MATCH(Summary!$C71,'3.5.1'!$1:$1,0)),"")</f>
        <v/>
      </c>
      <c r="BF71" s="208"/>
      <c r="BG71" s="208"/>
      <c r="BH71" s="208" t="str">
        <f>_xlfn.IFNA(INDEX('3.5.1'!$1:$104,MATCH(BH$4,'3.5.1'!$A:$A,0),MATCH(Summary!$C71,'3.5.1'!$1:$1,0)),"")</f>
        <v/>
      </c>
      <c r="BI71" s="208"/>
      <c r="BJ71" s="208"/>
      <c r="BK71" s="208" t="str">
        <f>_xlfn.IFNA(INDEX('3.5.1'!$1:$104,MATCH(BK$4,'3.5.1'!$A:$A,0),MATCH(Summary!$C71,'3.5.1'!$1:$1,0)),"")</f>
        <v/>
      </c>
    </row>
    <row r="72" s="78" customFormat="1" outlineLevel="3" spans="1:63" ht="16.5" customHeight="1">
      <c r="A72" s="183"/>
      <c r="B72" s="183"/>
      <c r="C72" s="183" t="s">
        <v>199</v>
      </c>
      <c r="D72" s="203"/>
      <c r="E72" s="203"/>
      <c r="F72" s="203" t="s">
        <v>200</v>
      </c>
      <c r="G72" s="205" t="s">
        <v>201</v>
      </c>
      <c r="H72" s="206">
        <f t="shared" si="2"/>
        <v>0.073617477791947</v>
      </c>
      <c r="I72" s="207" t="str">
        <f t="shared" si="1"/>
        <v/>
      </c>
      <c r="J72" s="208"/>
      <c r="K72" s="208"/>
      <c r="L72" s="208" t="str">
        <f>_xlfn.IFNA(INDEX('3.5.1'!$1:$104,MATCH(L$4,'3.5.1'!$A:$A,0),MATCH(Summary!$C72,'3.5.1'!$1:$1,0)),"")</f>
        <v/>
      </c>
      <c r="M72" s="208"/>
      <c r="N72" s="208"/>
      <c r="O72" s="208">
        <f>_xlfn.IFNA(INDEX('3.5.1'!$1:$104,MATCH(O$4,'3.5.1'!$A:$A,0),MATCH(Summary!$C72,'3.5.1'!$1:$1,0)),"")</f>
        <v>794177.673</v>
      </c>
      <c r="P72" s="208"/>
      <c r="Q72" s="208"/>
      <c r="R72" s="208" t="str">
        <f>_xlfn.IFNA(INDEX('3.5.1'!$1:$104,MATCH(R$4,'3.5.1'!$A:$A,0),MATCH(Summary!$C72,'3.5.1'!$1:$1,0)),"")</f>
        <v/>
      </c>
      <c r="S72" s="208"/>
      <c r="T72" s="208"/>
      <c r="U72" s="208" t="str">
        <f>_xlfn.IFNA(INDEX('3.5.1'!$1:$104,MATCH(U$4,'3.5.1'!$A:$A,0),MATCH(Summary!$C72,'3.5.1'!$1:$1,0)),"")</f>
        <v/>
      </c>
      <c r="V72" s="208"/>
      <c r="W72" s="208"/>
      <c r="X72" s="208">
        <f>_xlfn.IFNA(INDEX('3.5.1'!$1:$104,MATCH(X$4,'3.5.1'!$A:$A,0),MATCH(Summary!$C72,'3.5.1'!$1:$1,0)),"")</f>
        <v>748476.799</v>
      </c>
      <c r="Y72" s="208"/>
      <c r="Z72" s="208"/>
      <c r="AA72" s="208" t="str">
        <f>_xlfn.IFNA(INDEX('3.5.1'!$1:$104,MATCH(AA$4,'3.5.1'!$A:$A,0),MATCH(Summary!$C72,'3.5.1'!$1:$1,0)),"")</f>
        <v/>
      </c>
      <c r="AB72" s="208"/>
      <c r="AC72" s="208"/>
      <c r="AD72" s="208" t="str">
        <f>_xlfn.IFNA(INDEX('3.5.1'!$1:$104,MATCH(AD$4,'3.5.1'!$A:$A,0),MATCH(Summary!$C72,'3.5.1'!$1:$1,0)),"")</f>
        <v/>
      </c>
      <c r="AE72" s="208"/>
      <c r="AF72" s="208"/>
      <c r="AG72" s="208">
        <f>_xlfn.IFNA(INDEX('3.5.1'!$1:$104,MATCH(AG$4,'3.5.1'!$A:$A,0),MATCH(Summary!$C72,'3.5.1'!$1:$1,0)),"")</f>
        <v>685669.347</v>
      </c>
      <c r="AH72" s="208"/>
      <c r="AI72" s="208"/>
      <c r="AJ72" s="208" t="str">
        <f>_xlfn.IFNA(INDEX('3.5.1'!$1:$104,MATCH(AJ$4,'3.5.1'!$A:$A,0),MATCH(Summary!$C72,'3.5.1'!$1:$1,0)),"")</f>
        <v/>
      </c>
      <c r="AK72" s="208"/>
      <c r="AL72" s="208"/>
      <c r="AM72" s="208" t="str">
        <f>_xlfn.IFNA(INDEX('3.5.1'!$1:$104,MATCH(AM$4,'3.5.1'!$A:$A,0),MATCH(Summary!$C72,'3.5.1'!$1:$1,0)),"")</f>
        <v/>
      </c>
      <c r="AN72" s="208"/>
      <c r="AO72" s="208"/>
      <c r="AP72" s="208">
        <f>_xlfn.IFNA(INDEX('3.5.1'!$1:$104,MATCH(AP$4,'3.5.1'!$A:$A,0),MATCH(Summary!$C72,'3.5.1'!$1:$1,0)),"")</f>
        <v>682089.887</v>
      </c>
      <c r="AQ72" s="208"/>
      <c r="AR72" s="208"/>
      <c r="AS72" s="208" t="str">
        <f>_xlfn.IFNA(INDEX('3.5.1'!$1:$104,MATCH(AS$4,'3.5.1'!$A:$A,0),MATCH(Summary!$C72,'3.5.1'!$1:$1,0)),"")</f>
        <v/>
      </c>
      <c r="AT72" s="208"/>
      <c r="AU72" s="208"/>
      <c r="AV72" s="208" t="str">
        <f>_xlfn.IFNA(INDEX('3.5.1'!$1:$104,MATCH(AV$4,'3.5.1'!$A:$A,0),MATCH(Summary!$C72,'3.5.1'!$1:$1,0)),"")</f>
        <v/>
      </c>
      <c r="AW72" s="208"/>
      <c r="AX72" s="208"/>
      <c r="AY72" s="208">
        <f>_xlfn.IFNA(INDEX('3.5.1'!$1:$104,MATCH(AY$4,'3.5.1'!$A:$A,0),MATCH(Summary!$C72,'3.5.1'!$1:$1,0)),"")</f>
        <v>664951.664</v>
      </c>
      <c r="AZ72" s="208"/>
      <c r="BA72" s="208"/>
      <c r="BB72" s="208">
        <f>_xlfn.IFNA(INDEX('3.5.1'!$1:$104,MATCH(BB$4,'3.5.1'!$A:$A,0),MATCH(Summary!$C72,'3.5.1'!$1:$1,0)),"")</f>
        <v>629430.801</v>
      </c>
      <c r="BC72" s="208"/>
      <c r="BD72" s="208"/>
      <c r="BE72" s="208" t="str">
        <f>_xlfn.IFNA(INDEX('3.5.1'!$1:$104,MATCH(BE$4,'3.5.1'!$A:$A,0),MATCH(Summary!$C72,'3.5.1'!$1:$1,0)),"")</f>
        <v/>
      </c>
      <c r="BF72" s="208"/>
      <c r="BG72" s="208"/>
      <c r="BH72" s="208" t="str">
        <f>_xlfn.IFNA(INDEX('3.5.1'!$1:$104,MATCH(BH$4,'3.5.1'!$A:$A,0),MATCH(Summary!$C72,'3.5.1'!$1:$1,0)),"")</f>
        <v/>
      </c>
      <c r="BI72" s="208"/>
      <c r="BJ72" s="208"/>
      <c r="BK72" s="208" t="str">
        <f>_xlfn.IFNA(INDEX('3.5.1'!$1:$104,MATCH(BK$4,'3.5.1'!$A:$A,0),MATCH(Summary!$C72,'3.5.1'!$1:$1,0)),"")</f>
        <v/>
      </c>
    </row>
    <row r="73" s="78" customFormat="1" outlineLevel="2" spans="1:63" ht="16.5" customHeight="1">
      <c r="A73" s="183"/>
      <c r="B73" s="183"/>
      <c r="C73" s="183" t="s">
        <v>202</v>
      </c>
      <c r="D73" s="203"/>
      <c r="E73" s="203"/>
      <c r="F73" s="218" t="s">
        <v>203</v>
      </c>
      <c r="G73" s="219" t="s">
        <v>114</v>
      </c>
      <c r="H73" s="206">
        <f t="shared" si="2"/>
        <v>0.0428701530258175</v>
      </c>
      <c r="I73" s="207" t="str">
        <f t="shared" si="1"/>
        <v/>
      </c>
      <c r="J73" s="208"/>
      <c r="K73" s="208"/>
      <c r="L73" s="208" t="str">
        <f>_xlfn.IFNA(INDEX('3.5.1'!$1:$104,MATCH(L$4,'3.5.1'!$A:$A,0),MATCH(Summary!$C73,'3.5.1'!$1:$1,0)),"")</f>
        <v/>
      </c>
      <c r="M73" s="208"/>
      <c r="N73" s="208"/>
      <c r="O73" s="208">
        <f>_xlfn.IFNA(INDEX('3.5.1'!$1:$104,MATCH(O$4,'3.5.1'!$A:$A,0),MATCH(Summary!$C73,'3.5.1'!$1:$1,0)),"")</f>
        <v>462478.74</v>
      </c>
      <c r="P73" s="208"/>
      <c r="Q73" s="208"/>
      <c r="R73" s="208" t="str">
        <f>_xlfn.IFNA(INDEX('3.5.1'!$1:$104,MATCH(R$4,'3.5.1'!$A:$A,0),MATCH(Summary!$C73,'3.5.1'!$1:$1,0)),"")</f>
        <v/>
      </c>
      <c r="S73" s="208"/>
      <c r="T73" s="208"/>
      <c r="U73" s="208" t="str">
        <f>_xlfn.IFNA(INDEX('3.5.1'!$1:$104,MATCH(U$4,'3.5.1'!$A:$A,0),MATCH(Summary!$C73,'3.5.1'!$1:$1,0)),"")</f>
        <v/>
      </c>
      <c r="V73" s="208"/>
      <c r="W73" s="208"/>
      <c r="X73" s="208">
        <f>_xlfn.IFNA(INDEX('3.5.1'!$1:$104,MATCH(X$4,'3.5.1'!$A:$A,0),MATCH(Summary!$C73,'3.5.1'!$1:$1,0)),"")</f>
        <v>475615.773</v>
      </c>
      <c r="Y73" s="208"/>
      <c r="Z73" s="208"/>
      <c r="AA73" s="208" t="str">
        <f>_xlfn.IFNA(INDEX('3.5.1'!$1:$104,MATCH(AA$4,'3.5.1'!$A:$A,0),MATCH(Summary!$C73,'3.5.1'!$1:$1,0)),"")</f>
        <v/>
      </c>
      <c r="AB73" s="208"/>
      <c r="AC73" s="208"/>
      <c r="AD73" s="208" t="str">
        <f>_xlfn.IFNA(INDEX('3.5.1'!$1:$104,MATCH(AD$4,'3.5.1'!$A:$A,0),MATCH(Summary!$C73,'3.5.1'!$1:$1,0)),"")</f>
        <v/>
      </c>
      <c r="AE73" s="208"/>
      <c r="AF73" s="208"/>
      <c r="AG73" s="208">
        <f>_xlfn.IFNA(INDEX('3.5.1'!$1:$104,MATCH(AG$4,'3.5.1'!$A:$A,0),MATCH(Summary!$C73,'3.5.1'!$1:$1,0)),"")</f>
        <v>467099.298</v>
      </c>
      <c r="AH73" s="208"/>
      <c r="AI73" s="208"/>
      <c r="AJ73" s="208" t="str">
        <f>_xlfn.IFNA(INDEX('3.5.1'!$1:$104,MATCH(AJ$4,'3.5.1'!$A:$A,0),MATCH(Summary!$C73,'3.5.1'!$1:$1,0)),"")</f>
        <v/>
      </c>
      <c r="AK73" s="208"/>
      <c r="AL73" s="208"/>
      <c r="AM73" s="208" t="str">
        <f>_xlfn.IFNA(INDEX('3.5.1'!$1:$104,MATCH(AM$4,'3.5.1'!$A:$A,0),MATCH(Summary!$C73,'3.5.1'!$1:$1,0)),"")</f>
        <v/>
      </c>
      <c r="AN73" s="208"/>
      <c r="AO73" s="208"/>
      <c r="AP73" s="208">
        <f>_xlfn.IFNA(INDEX('3.5.1'!$1:$104,MATCH(AP$4,'3.5.1'!$A:$A,0),MATCH(Summary!$C73,'3.5.1'!$1:$1,0)),"")</f>
        <v>457491.526</v>
      </c>
      <c r="AQ73" s="208"/>
      <c r="AR73" s="208"/>
      <c r="AS73" s="208" t="str">
        <f>_xlfn.IFNA(INDEX('3.5.1'!$1:$104,MATCH(AS$4,'3.5.1'!$A:$A,0),MATCH(Summary!$C73,'3.5.1'!$1:$1,0)),"")</f>
        <v/>
      </c>
      <c r="AT73" s="208"/>
      <c r="AU73" s="208"/>
      <c r="AV73" s="208" t="str">
        <f>_xlfn.IFNA(INDEX('3.5.1'!$1:$104,MATCH(AV$4,'3.5.1'!$A:$A,0),MATCH(Summary!$C73,'3.5.1'!$1:$1,0)),"")</f>
        <v/>
      </c>
      <c r="AW73" s="208"/>
      <c r="AX73" s="208"/>
      <c r="AY73" s="208">
        <f>_xlfn.IFNA(INDEX('3.5.1'!$1:$104,MATCH(AY$4,'3.5.1'!$A:$A,0),MATCH(Summary!$C73,'3.5.1'!$1:$1,0)),"")</f>
        <v>477331.761</v>
      </c>
      <c r="AZ73" s="208"/>
      <c r="BA73" s="208"/>
      <c r="BB73" s="208">
        <f>_xlfn.IFNA(INDEX('3.5.1'!$1:$104,MATCH(BB$4,'3.5.1'!$A:$A,0),MATCH(Summary!$C73,'3.5.1'!$1:$1,0)),"")</f>
        <v>474595.087</v>
      </c>
      <c r="BC73" s="208"/>
      <c r="BD73" s="208"/>
      <c r="BE73" s="208" t="str">
        <f>_xlfn.IFNA(INDEX('3.5.1'!$1:$104,MATCH(BE$4,'3.5.1'!$A:$A,0),MATCH(Summary!$C73,'3.5.1'!$1:$1,0)),"")</f>
        <v/>
      </c>
      <c r="BF73" s="208"/>
      <c r="BG73" s="208"/>
      <c r="BH73" s="208" t="str">
        <f>_xlfn.IFNA(INDEX('3.5.1'!$1:$104,MATCH(BH$4,'3.5.1'!$A:$A,0),MATCH(Summary!$C73,'3.5.1'!$1:$1,0)),"")</f>
        <v/>
      </c>
      <c r="BI73" s="208"/>
      <c r="BJ73" s="208"/>
      <c r="BK73" s="208" t="str">
        <f>_xlfn.IFNA(INDEX('3.5.1'!$1:$104,MATCH(BK$4,'3.5.1'!$A:$A,0),MATCH(Summary!$C73,'3.5.1'!$1:$1,0)),"")</f>
        <v/>
      </c>
    </row>
    <row r="74" s="78" customFormat="1" spans="1:63" ht="16.5" customHeight="1">
      <c r="A74" s="183"/>
      <c r="B74" s="183"/>
      <c r="C74" s="183" t="s">
        <v>204</v>
      </c>
      <c r="D74" s="194"/>
      <c r="E74" s="194" t="s">
        <v>205</v>
      </c>
      <c r="F74" s="194"/>
      <c r="G74" s="194"/>
      <c r="H74" s="195">
        <f t="shared" si="2"/>
        <v>0.24959923630007</v>
      </c>
      <c r="I74" s="196">
        <f t="shared" si="1"/>
        <v>0.111406109006555</v>
      </c>
      <c r="J74" s="197">
        <f>J75+J76</f>
        <v>461086.762</v>
      </c>
      <c r="K74" s="197">
        <f>K75+K76</f>
        <v>2277900.412</v>
      </c>
      <c r="L74" s="197">
        <f>INDEX('1.2'!$1:$104,MATCH(L$3,'1.2'!$A:$A,0),MATCH(Summary!$C74,'1.2'!$1:$1,0))</f>
        <v>2738987.174</v>
      </c>
      <c r="M74" s="197">
        <f>M75+M76</f>
        <v>464027.685</v>
      </c>
      <c r="N74" s="197">
        <f>N75+N76</f>
        <v>2228622.846</v>
      </c>
      <c r="O74" s="197">
        <f>INDEX('1.2'!$1:$104,MATCH(O$3,'1.2'!$A:$A,0),MATCH(Summary!$C74,'1.2'!$1:$1,0))</f>
        <v>2692650.531</v>
      </c>
      <c r="P74" s="197">
        <f>P75+P76</f>
        <v>470173.192</v>
      </c>
      <c r="Q74" s="197">
        <f>Q75+Q76</f>
        <v>2194772.743</v>
      </c>
      <c r="R74" s="197">
        <f>INDEX('1.2'!$1:$104,MATCH(R$3,'1.2'!$A:$A,0),MATCH(Summary!$C74,'1.2'!$1:$1,0))</f>
        <v>2664945.935</v>
      </c>
      <c r="S74" s="197">
        <f>S75+S76</f>
        <v>467276.784</v>
      </c>
      <c r="T74" s="197">
        <f>T75+T76</f>
        <v>2160385.34</v>
      </c>
      <c r="U74" s="197">
        <f>INDEX('1.2'!$1:$104,MATCH(U$3,'1.2'!$A:$A,0),MATCH(Summary!$C74,'1.2'!$1:$1,0))</f>
        <v>2627662.124</v>
      </c>
      <c r="V74" s="197">
        <f>V75+V76</f>
        <v>460528.246</v>
      </c>
      <c r="W74" s="197">
        <f>W75+W76</f>
        <v>2117928.044</v>
      </c>
      <c r="X74" s="197">
        <f>INDEX('1.2'!$1:$104,MATCH(X$3,'1.2'!$A:$A,0),MATCH(Summary!$C74,'1.2'!$1:$1,0))</f>
        <v>2578456.29</v>
      </c>
      <c r="Y74" s="197">
        <f>Y75+Y76</f>
        <v>457350.093</v>
      </c>
      <c r="Z74" s="197">
        <f>Z75+Z76</f>
        <v>2123022.801</v>
      </c>
      <c r="AA74" s="197">
        <f>INDEX('1.2'!$1:$104,MATCH(AA$3,'1.2'!$A:$A,0),MATCH(Summary!$C74,'1.2'!$1:$1,0))</f>
        <v>2580372.894</v>
      </c>
      <c r="AB74" s="197">
        <f>AB75+AB76</f>
        <v>459704.909</v>
      </c>
      <c r="AC74" s="197">
        <f>AC75+AC76</f>
        <v>2097012.324</v>
      </c>
      <c r="AD74" s="197">
        <f>INDEX('1.2'!$1:$104,MATCH(AD$3,'1.2'!$A:$A,0),MATCH(Summary!$C74,'1.2'!$1:$1,0))</f>
        <v>2556717.233</v>
      </c>
      <c r="AE74" s="197">
        <f>AE75+AE76</f>
        <v>455371.054</v>
      </c>
      <c r="AF74" s="197">
        <f>AF75+AF76</f>
        <v>2045466.347</v>
      </c>
      <c r="AG74" s="197">
        <f>INDEX('1.2'!$1:$104,MATCH(AG$3,'1.2'!$A:$A,0),MATCH(Summary!$C74,'1.2'!$1:$1,0))</f>
        <v>2500837.401</v>
      </c>
      <c r="AH74" s="197">
        <f>AH75+AH76</f>
        <v>466237.976</v>
      </c>
      <c r="AI74" s="197">
        <f>AI75+AI76</f>
        <v>1989553.435</v>
      </c>
      <c r="AJ74" s="197">
        <f>INDEX('1.2'!$1:$104,MATCH(AJ$3,'1.2'!$A:$A,0),MATCH(Summary!$C74,'1.2'!$1:$1,0))</f>
        <v>2455791.411</v>
      </c>
      <c r="AK74" s="197">
        <f>AK75+AK76</f>
        <v>462622.245</v>
      </c>
      <c r="AL74" s="197">
        <f>AL75+AL76</f>
        <v>1982694.969</v>
      </c>
      <c r="AM74" s="197">
        <f>INDEX('1.2'!$1:$104,MATCH(AM$3,'1.2'!$A:$A,0),MATCH(Summary!$C74,'1.2'!$1:$1,0))</f>
        <v>2445317.214</v>
      </c>
      <c r="AN74" s="197">
        <f>AN75+AN76</f>
        <v>472307.547</v>
      </c>
      <c r="AO74" s="197">
        <f>AO75+AO76</f>
        <v>1979012.926</v>
      </c>
      <c r="AP74" s="197">
        <f>INDEX('1.2'!$1:$104,MATCH(AP$3,'1.2'!$A:$A,0),MATCH(Summary!$C74,'1.2'!$1:$1,0))</f>
        <v>2451320.473</v>
      </c>
      <c r="AQ74" s="197">
        <f>AQ75+AQ76</f>
        <v>489459.1</v>
      </c>
      <c r="AR74" s="197">
        <f>AR75+AR76</f>
        <v>1944036.715</v>
      </c>
      <c r="AS74" s="197">
        <f>INDEX('1.2'!$1:$104,MATCH(AS$3,'1.2'!$A:$A,0),MATCH(Summary!$C74,'1.2'!$1:$1,0))</f>
        <v>2433495.815</v>
      </c>
      <c r="AT74" s="197">
        <f>AT75+AT76</f>
        <v>497502.036</v>
      </c>
      <c r="AU74" s="197">
        <f>AU75+AU76</f>
        <v>1966932.118</v>
      </c>
      <c r="AV74" s="197">
        <f>INDEX('1.2'!$1:$104,MATCH(AV$3,'1.2'!$A:$A,0),MATCH(Summary!$C74,'1.2'!$1:$1,0))</f>
        <v>2464434.154</v>
      </c>
      <c r="AW74" s="197">
        <f>AW75+AW76</f>
        <v>492832.735</v>
      </c>
      <c r="AX74" s="197">
        <f>AX75+AX76</f>
        <v>2015447.216</v>
      </c>
      <c r="AY74" s="197">
        <f>INDEX('1.2'!$1:$104,MATCH(AY$3,'1.2'!$A:$A,0),MATCH(Summary!$C74,'1.2'!$1:$1,0))</f>
        <v>2508279.951</v>
      </c>
      <c r="AZ74" s="197">
        <f>AZ75+AZ76</f>
        <v>532946.304</v>
      </c>
      <c r="BA74" s="197">
        <f>BA75+BA76</f>
        <v>1884879.472</v>
      </c>
      <c r="BB74" s="197">
        <f>INDEX('1.2'!$1:$104,MATCH(BB$3,'1.2'!$A:$A,0),MATCH(Summary!$C74,'1.2'!$1:$1,0))</f>
        <v>2417825.776</v>
      </c>
      <c r="BC74" s="197">
        <f>BC75+BC76</f>
        <v>718314.695</v>
      </c>
      <c r="BD74" s="197">
        <f>BD75+BD76</f>
        <v>1845049.86</v>
      </c>
      <c r="BE74" s="197">
        <f>INDEX('1.2'!$1:$104,MATCH(BE$3,'1.2'!$A:$A,0),MATCH(Summary!$C74,'1.2'!$1:$1,0))</f>
        <v>2563364.555</v>
      </c>
      <c r="BF74" s="197">
        <f>BF75+BF76</f>
        <v>883784.902</v>
      </c>
      <c r="BG74" s="197">
        <f>BG75+BG76</f>
        <v>1977172.241</v>
      </c>
      <c r="BH74" s="197">
        <f>INDEX('1.2'!$1:$104,MATCH(BH$3,'1.2'!$A:$A,0),MATCH(Summary!$C74,'1.2'!$1:$1,0))</f>
        <v>2860957.143</v>
      </c>
      <c r="BI74" s="197">
        <f>BI75+BI76</f>
        <v>888726.652</v>
      </c>
      <c r="BJ74" s="197">
        <f>BJ75+BJ76</f>
        <v>2292125.115</v>
      </c>
      <c r="BK74" s="197">
        <f>INDEX('1.2'!$1:$104,MATCH(BK$3,'1.2'!$A:$A,0),MATCH(Summary!$C74,'1.2'!$1:$1,0))</f>
        <v>3180851.767</v>
      </c>
    </row>
    <row r="75" s="79" customFormat="1" spans="1:63" ht="16.5" customHeight="1">
      <c r="A75" s="183" t="s">
        <v>206</v>
      </c>
      <c r="B75" s="183" t="s">
        <v>207</v>
      </c>
      <c r="C75" s="183" t="s">
        <v>208</v>
      </c>
      <c r="D75" s="203"/>
      <c r="E75" s="218" t="s">
        <v>209</v>
      </c>
      <c r="F75" s="203"/>
      <c r="G75" s="205"/>
      <c r="H75" s="206">
        <f t="shared" si="2"/>
        <v>0.249596331006875</v>
      </c>
      <c r="I75" s="207">
        <f t="shared" si="1"/>
        <v>0.111441979729754</v>
      </c>
      <c r="J75" s="208">
        <f>INDEX('3.4.1'!$1:$104,MATCH(J$4,'3.4.1'!$A:$A,0),MATCH(Summary!$A75,'3.4.1'!$1:$1,0))</f>
        <v>461086.162</v>
      </c>
      <c r="K75" s="208">
        <f>INDEX('3.4.1'!$1:$104,MATCH(K$4,'3.4.1'!$A:$A,0),MATCH(Summary!$B75,'3.4.1'!$1:$1,0))</f>
        <v>2277869.484</v>
      </c>
      <c r="L75" s="208">
        <f>INDEX('3.4.1'!$1:$104,MATCH(L$4,'3.4.1'!$A:$A,0),MATCH(Summary!$C75,'3.4.1'!$1:$1,0))</f>
        <v>2738955.646</v>
      </c>
      <c r="M75" s="208">
        <f>INDEX('3.4.1'!$1:$104,MATCH(M$4,'3.4.1'!$A:$A,0),MATCH(Summary!$A75,'3.4.1'!$1:$1,0))</f>
        <v>464027.085</v>
      </c>
      <c r="N75" s="208">
        <f>INDEX('3.4.1'!$1:$104,MATCH(N$4,'3.4.1'!$A:$A,0),MATCH(Summary!$B75,'3.4.1'!$1:$1,0))</f>
        <v>2228592.104</v>
      </c>
      <c r="O75" s="208">
        <f>INDEX('3.4.1'!$1:$104,MATCH(O$4,'3.4.1'!$A:$A,0),MATCH(Summary!$C75,'3.4.1'!$1:$1,0))</f>
        <v>2692619.189</v>
      </c>
      <c r="P75" s="208">
        <f>INDEX('3.4.1'!$1:$104,MATCH(P$4,'3.4.1'!$A:$A,0),MATCH(Summary!$A75,'3.4.1'!$1:$1,0))</f>
        <v>470172.592</v>
      </c>
      <c r="Q75" s="208">
        <f>INDEX('3.4.1'!$1:$104,MATCH(Q$4,'3.4.1'!$A:$A,0),MATCH(Summary!$B75,'3.4.1'!$1:$1,0))</f>
        <v>2194751.128</v>
      </c>
      <c r="R75" s="208">
        <f>INDEX('3.4.1'!$1:$104,MATCH(R$4,'3.4.1'!$A:$A,0),MATCH(Summary!$C75,'3.4.1'!$1:$1,0))</f>
        <v>2664923.72</v>
      </c>
      <c r="S75" s="208">
        <f>INDEX('3.4.1'!$1:$104,MATCH(S$4,'3.4.1'!$A:$A,0),MATCH(Summary!$A75,'3.4.1'!$1:$1,0))</f>
        <v>467276.184</v>
      </c>
      <c r="T75" s="208">
        <f>INDEX('3.4.1'!$1:$104,MATCH(T$4,'3.4.1'!$A:$A,0),MATCH(Summary!$B75,'3.4.1'!$1:$1,0))</f>
        <v>2160366.174</v>
      </c>
      <c r="U75" s="208">
        <f>INDEX('3.4.1'!$1:$104,MATCH(U$4,'3.4.1'!$A:$A,0),MATCH(Summary!$C75,'3.4.1'!$1:$1,0))</f>
        <v>2627642.358</v>
      </c>
      <c r="V75" s="208">
        <f>INDEX('3.4.1'!$1:$104,MATCH(V$4,'3.4.1'!$A:$A,0),MATCH(Summary!$A75,'3.4.1'!$1:$1,0))</f>
        <v>460527.646</v>
      </c>
      <c r="W75" s="208">
        <f>INDEX('3.4.1'!$1:$104,MATCH(W$4,'3.4.1'!$A:$A,0),MATCH(Summary!$B75,'3.4.1'!$1:$1,0))</f>
        <v>2117906.48</v>
      </c>
      <c r="X75" s="208">
        <f>INDEX('3.4.1'!$1:$104,MATCH(X$4,'3.4.1'!$A:$A,0),MATCH(Summary!$C75,'3.4.1'!$1:$1,0))</f>
        <v>2578434.126</v>
      </c>
      <c r="Y75" s="208">
        <f>INDEX('3.4.1'!$1:$104,MATCH(Y$4,'3.4.1'!$A:$A,0),MATCH(Summary!$A75,'3.4.1'!$1:$1,0))</f>
        <v>457349.193</v>
      </c>
      <c r="Z75" s="208">
        <f>INDEX('3.4.1'!$1:$104,MATCH(Z$4,'3.4.1'!$A:$A,0),MATCH(Summary!$B75,'3.4.1'!$1:$1,0))</f>
        <v>2122924.978</v>
      </c>
      <c r="AA75" s="208">
        <f>INDEX('3.4.1'!$1:$104,MATCH(AA$4,'3.4.1'!$A:$A,0),MATCH(Summary!$C75,'3.4.1'!$1:$1,0))</f>
        <v>2580274.171</v>
      </c>
      <c r="AB75" s="208">
        <f>INDEX('3.4.1'!$1:$104,MATCH(AB$4,'3.4.1'!$A:$A,0),MATCH(Summary!$A75,'3.4.1'!$1:$1,0))</f>
        <v>459704.009</v>
      </c>
      <c r="AC75" s="208">
        <f>INDEX('3.4.1'!$1:$104,MATCH(AC$4,'3.4.1'!$A:$A,0),MATCH(Summary!$B75,'3.4.1'!$1:$1,0))</f>
        <v>2096914.473</v>
      </c>
      <c r="AD75" s="208">
        <f>INDEX('3.4.1'!$1:$104,MATCH(AD$4,'3.4.1'!$A:$A,0),MATCH(Summary!$C75,'3.4.1'!$1:$1,0))</f>
        <v>2556618.482</v>
      </c>
      <c r="AE75" s="208">
        <f>INDEX('3.4.1'!$1:$104,MATCH(AE$4,'3.4.1'!$A:$A,0),MATCH(Summary!$A75,'3.4.1'!$1:$1,0))</f>
        <v>455370.154</v>
      </c>
      <c r="AF75" s="208">
        <f>INDEX('3.4.1'!$1:$104,MATCH(AF$4,'3.4.1'!$A:$A,0),MATCH(Summary!$B75,'3.4.1'!$1:$1,0))</f>
        <v>2045357.51</v>
      </c>
      <c r="AG75" s="208">
        <f>INDEX('3.4.1'!$1:$104,MATCH(AG$4,'3.4.1'!$A:$A,0),MATCH(Summary!$C75,'3.4.1'!$1:$1,0))</f>
        <v>2500727.664</v>
      </c>
      <c r="AH75" s="208">
        <f>INDEX('3.4.1'!$1:$104,MATCH(AH$4,'3.4.1'!$A:$A,0),MATCH(Summary!$A75,'3.4.1'!$1:$1,0))</f>
        <v>466237.076</v>
      </c>
      <c r="AI75" s="208">
        <f>INDEX('3.4.1'!$1:$104,MATCH(AI$4,'3.4.1'!$A:$A,0),MATCH(Summary!$B75,'3.4.1'!$1:$1,0))</f>
        <v>1989444.555</v>
      </c>
      <c r="AJ75" s="208">
        <f>INDEX('3.4.1'!$1:$104,MATCH(AJ$4,'3.4.1'!$A:$A,0),MATCH(Summary!$C75,'3.4.1'!$1:$1,0))</f>
        <v>2455681.631</v>
      </c>
      <c r="AK75" s="208">
        <f>INDEX('3.4.1'!$1:$104,MATCH(AK$4,'3.4.1'!$A:$A,0),MATCH(Summary!$A75,'3.4.1'!$1:$1,0))</f>
        <v>462621.345</v>
      </c>
      <c r="AL75" s="208">
        <f>INDEX('3.4.1'!$1:$104,MATCH(AL$4,'3.4.1'!$A:$A,0),MATCH(Summary!$B75,'3.4.1'!$1:$1,0))</f>
        <v>1982597.622</v>
      </c>
      <c r="AM75" s="208">
        <f>INDEX('3.4.1'!$1:$104,MATCH(AM$4,'3.4.1'!$A:$A,0),MATCH(Summary!$C75,'3.4.1'!$1:$1,0))</f>
        <v>2445218.967</v>
      </c>
      <c r="AN75" s="208">
        <f>INDEX('3.4.1'!$1:$104,MATCH(AN$4,'3.4.1'!$A:$A,0),MATCH(Summary!$A75,'3.4.1'!$1:$1,0))</f>
        <v>472306.647</v>
      </c>
      <c r="AO75" s="208">
        <f>INDEX('3.4.1'!$1:$104,MATCH(AO$4,'3.4.1'!$A:$A,0),MATCH(Summary!$B75,'3.4.1'!$1:$1,0))</f>
        <v>1978905.533</v>
      </c>
      <c r="AP75" s="208">
        <f>INDEX('3.4.1'!$1:$104,MATCH(AP$4,'3.4.1'!$A:$A,0),MATCH(Summary!$C75,'3.4.1'!$1:$1,0))</f>
        <v>2451212.18</v>
      </c>
      <c r="AQ75" s="208">
        <f>INDEX('3.4.1'!$1:$104,MATCH(AQ$4,'3.4.1'!$A:$A,0),MATCH(Summary!$A75,'3.4.1'!$1:$1,0))</f>
        <v>489457.9</v>
      </c>
      <c r="AR75" s="208">
        <f>INDEX('3.4.1'!$1:$104,MATCH(AR$4,'3.4.1'!$A:$A,0),MATCH(Summary!$B75,'3.4.1'!$1:$1,0))</f>
        <v>1943926.614</v>
      </c>
      <c r="AS75" s="208">
        <f>INDEX('3.4.1'!$1:$104,MATCH(AS$4,'3.4.1'!$A:$A,0),MATCH(Summary!$C75,'3.4.1'!$1:$1,0))</f>
        <v>2433384.514</v>
      </c>
      <c r="AT75" s="208">
        <f>INDEX('3.4.1'!$1:$104,MATCH(AT$4,'3.4.1'!$A:$A,0),MATCH(Summary!$A75,'3.4.1'!$1:$1,0))</f>
        <v>497500.836</v>
      </c>
      <c r="AU75" s="208">
        <f>INDEX('3.4.1'!$1:$104,MATCH(AU$4,'3.4.1'!$A:$A,0),MATCH(Summary!$B75,'3.4.1'!$1:$1,0))</f>
        <v>1966825.414</v>
      </c>
      <c r="AV75" s="208">
        <f>INDEX('3.4.1'!$1:$104,MATCH(AV$4,'3.4.1'!$A:$A,0),MATCH(Summary!$C75,'3.4.1'!$1:$1,0))</f>
        <v>2464326.25</v>
      </c>
      <c r="AW75" s="208">
        <f>INDEX('3.4.1'!$1:$104,MATCH(AW$4,'3.4.1'!$A:$A,0),MATCH(Summary!$A75,'3.4.1'!$1:$1,0))</f>
        <v>492831.535</v>
      </c>
      <c r="AX75" s="208">
        <f>INDEX('3.4.1'!$1:$104,MATCH(AX$4,'3.4.1'!$A:$A,0),MATCH(Summary!$B75,'3.4.1'!$1:$1,0))</f>
        <v>2015341.516</v>
      </c>
      <c r="AY75" s="208">
        <f>INDEX('3.4.1'!$1:$104,MATCH(AY$4,'3.4.1'!$A:$A,0),MATCH(Summary!$C75,'3.4.1'!$1:$1,0))</f>
        <v>2508173.051</v>
      </c>
      <c r="AZ75" s="208">
        <f>INDEX('3.4.1'!$1:$104,MATCH(AZ$4,'3.4.1'!$A:$A,0),MATCH(Summary!$A75,'3.4.1'!$1:$1,0))</f>
        <v>532944.804</v>
      </c>
      <c r="BA75" s="208">
        <f>INDEX('3.4.1'!$1:$104,MATCH(BA$4,'3.4.1'!$A:$A,0),MATCH(Summary!$B75,'3.4.1'!$1:$1,0))</f>
        <v>1884775.988</v>
      </c>
      <c r="BB75" s="208">
        <f>INDEX('3.4.1'!$1:$104,MATCH(BB$4,'3.4.1'!$A:$A,0),MATCH(Summary!$C75,'3.4.1'!$1:$1,0))</f>
        <v>2417720.792</v>
      </c>
      <c r="BC75" s="208">
        <f>INDEX('3.4.1'!$1:$104,MATCH(BC$4,'3.4.1'!$A:$A,0),MATCH(Summary!$A75,'3.4.1'!$1:$1,0))</f>
        <v>718313.295</v>
      </c>
      <c r="BD75" s="208">
        <f>INDEX('3.4.1'!$1:$104,MATCH(BD$4,'3.4.1'!$A:$A,0),MATCH(Summary!$B75,'3.4.1'!$1:$1,0))</f>
        <v>1844955.529</v>
      </c>
      <c r="BE75" s="208">
        <f>INDEX('3.4.1'!$1:$104,MATCH(BE$4,'3.4.1'!$A:$A,0),MATCH(Summary!$C75,'3.4.1'!$1:$1,0))</f>
        <v>2563268.824</v>
      </c>
      <c r="BF75" s="208">
        <f>INDEX('3.4.1'!$1:$104,MATCH(BF$4,'3.4.1'!$A:$A,0),MATCH(Summary!$A75,'3.4.1'!$1:$1,0))</f>
        <v>883783.402</v>
      </c>
      <c r="BG75" s="208">
        <f>INDEX('3.4.1'!$1:$104,MATCH(BG$4,'3.4.1'!$A:$A,0),MATCH(Summary!$B75,'3.4.1'!$1:$1,0))</f>
        <v>1976831.037</v>
      </c>
      <c r="BH75" s="208">
        <f>INDEX('3.4.1'!$1:$104,MATCH(BH$4,'3.4.1'!$A:$A,0),MATCH(Summary!$C75,'3.4.1'!$1:$1,0))</f>
        <v>2860614.439</v>
      </c>
      <c r="BI75" s="208">
        <f>INDEX('3.4.1'!$1:$104,MATCH(BI$4,'3.4.1'!$A:$A,0),MATCH(Summary!$A75,'3.4.1'!$1:$1,0))</f>
        <v>888678.052</v>
      </c>
      <c r="BJ75" s="208">
        <f>INDEX('3.4.1'!$1:$104,MATCH(BJ$4,'3.4.1'!$A:$A,0),MATCH(Summary!$B75,'3.4.1'!$1:$1,0))</f>
        <v>2291728.488</v>
      </c>
      <c r="BK75" s="208">
        <f>INDEX('3.4.1'!$1:$104,MATCH(BK$4,'3.4.1'!$A:$A,0),MATCH(Summary!$C75,'3.4.1'!$1:$1,0))</f>
        <v>3180406.54</v>
      </c>
    </row>
    <row r="76" s="79" customFormat="1" spans="1:63" ht="16.5" customHeight="1">
      <c r="A76" s="183" t="s">
        <v>210</v>
      </c>
      <c r="B76" s="183" t="s">
        <v>211</v>
      </c>
      <c r="C76" s="183" t="s">
        <v>212</v>
      </c>
      <c r="D76" s="224"/>
      <c r="E76" s="225" t="s">
        <v>213</v>
      </c>
      <c r="F76" s="224"/>
      <c r="G76" s="226"/>
      <c r="H76" s="227">
        <f t="shared" si="2"/>
        <v>2.90529319495891e-6</v>
      </c>
      <c r="I76" s="228">
        <f t="shared" si="1"/>
        <v>-0.707814353499407</v>
      </c>
      <c r="J76" s="229">
        <f>INDEX('3.4.1'!$1:$104,MATCH(J$4,'3.4.1'!$A:$A,0),MATCH(Summary!$A76,'3.4.1'!$1:$1,0))</f>
        <v>0.6</v>
      </c>
      <c r="K76" s="229">
        <f>INDEX('3.4.1'!$1:$104,MATCH(K$4,'3.4.1'!$A:$A,0),MATCH(Summary!$B76,'3.4.1'!$1:$1,0))</f>
        <v>30.928</v>
      </c>
      <c r="L76" s="229">
        <f>INDEX('3.4.1'!$1:$104,MATCH(L$4,'3.4.1'!$A:$A,0),MATCH(Summary!$C76,'3.4.1'!$1:$1,0))</f>
        <v>31.528</v>
      </c>
      <c r="M76" s="229">
        <f>INDEX('3.4.1'!$1:$104,MATCH(M$4,'3.4.1'!$A:$A,0),MATCH(Summary!$A76,'3.4.1'!$1:$1,0))</f>
        <v>0.6</v>
      </c>
      <c r="N76" s="229">
        <f>INDEX('3.4.1'!$1:$104,MATCH(N$4,'3.4.1'!$A:$A,0),MATCH(Summary!$B76,'3.4.1'!$1:$1,0))</f>
        <v>30.742</v>
      </c>
      <c r="O76" s="229">
        <f>INDEX('3.4.1'!$1:$104,MATCH(O$4,'3.4.1'!$A:$A,0),MATCH(Summary!$C76,'3.4.1'!$1:$1,0))</f>
        <v>31.342</v>
      </c>
      <c r="P76" s="229">
        <f>INDEX('3.4.1'!$1:$104,MATCH(P$4,'3.4.1'!$A:$A,0),MATCH(Summary!$A76,'3.4.1'!$1:$1,0))</f>
        <v>0.6</v>
      </c>
      <c r="Q76" s="229">
        <f>INDEX('3.4.1'!$1:$104,MATCH(Q$4,'3.4.1'!$A:$A,0),MATCH(Summary!$B76,'3.4.1'!$1:$1,0))</f>
        <v>21.615</v>
      </c>
      <c r="R76" s="229">
        <f>INDEX('3.4.1'!$1:$104,MATCH(R$4,'3.4.1'!$A:$A,0),MATCH(Summary!$C76,'3.4.1'!$1:$1,0))</f>
        <v>22.215</v>
      </c>
      <c r="S76" s="229">
        <f>INDEX('3.4.1'!$1:$104,MATCH(S$4,'3.4.1'!$A:$A,0),MATCH(Summary!$A76,'3.4.1'!$1:$1,0))</f>
        <v>0.6</v>
      </c>
      <c r="T76" s="229">
        <f>INDEX('3.4.1'!$1:$104,MATCH(T$4,'3.4.1'!$A:$A,0),MATCH(Summary!$B76,'3.4.1'!$1:$1,0))</f>
        <v>19.166</v>
      </c>
      <c r="U76" s="229">
        <f>INDEX('3.4.1'!$1:$104,MATCH(U$4,'3.4.1'!$A:$A,0),MATCH(Summary!$C76,'3.4.1'!$1:$1,0))</f>
        <v>19.766</v>
      </c>
      <c r="V76" s="229">
        <f>INDEX('3.4.1'!$1:$104,MATCH(V$4,'3.4.1'!$A:$A,0),MATCH(Summary!$A76,'3.4.1'!$1:$1,0))</f>
        <v>0.6</v>
      </c>
      <c r="W76" s="229">
        <f>INDEX('3.4.1'!$1:$104,MATCH(W$4,'3.4.1'!$A:$A,0),MATCH(Summary!$B76,'3.4.1'!$1:$1,0))</f>
        <v>21.564</v>
      </c>
      <c r="X76" s="229">
        <f>INDEX('3.4.1'!$1:$104,MATCH(X$4,'3.4.1'!$A:$A,0),MATCH(Summary!$C76,'3.4.1'!$1:$1,0))</f>
        <v>22.164</v>
      </c>
      <c r="Y76" s="229">
        <f>INDEX('3.4.1'!$1:$104,MATCH(Y$4,'3.4.1'!$A:$A,0),MATCH(Summary!$A76,'3.4.1'!$1:$1,0))</f>
        <v>0.9</v>
      </c>
      <c r="Z76" s="229">
        <f>INDEX('3.4.1'!$1:$104,MATCH(Z$4,'3.4.1'!$A:$A,0),MATCH(Summary!$B76,'3.4.1'!$1:$1,0))</f>
        <v>97.823</v>
      </c>
      <c r="AA76" s="229">
        <f>INDEX('3.4.1'!$1:$104,MATCH(AA$4,'3.4.1'!$A:$A,0),MATCH(Summary!$C76,'3.4.1'!$1:$1,0))</f>
        <v>98.723</v>
      </c>
      <c r="AB76" s="229">
        <f>INDEX('3.4.1'!$1:$104,MATCH(AB$4,'3.4.1'!$A:$A,0),MATCH(Summary!$A76,'3.4.1'!$1:$1,0))</f>
        <v>0.9</v>
      </c>
      <c r="AC76" s="229">
        <f>INDEX('3.4.1'!$1:$104,MATCH(AC$4,'3.4.1'!$A:$A,0),MATCH(Summary!$B76,'3.4.1'!$1:$1,0))</f>
        <v>97.851</v>
      </c>
      <c r="AD76" s="229">
        <f>INDEX('3.4.1'!$1:$104,MATCH(AD$4,'3.4.1'!$A:$A,0),MATCH(Summary!$C76,'3.4.1'!$1:$1,0))</f>
        <v>98.751</v>
      </c>
      <c r="AE76" s="229">
        <f>INDEX('3.4.1'!$1:$104,MATCH(AE$4,'3.4.1'!$A:$A,0),MATCH(Summary!$A76,'3.4.1'!$1:$1,0))</f>
        <v>0.9</v>
      </c>
      <c r="AF76" s="229">
        <f>INDEX('3.4.1'!$1:$104,MATCH(AF$4,'3.4.1'!$A:$A,0),MATCH(Summary!$B76,'3.4.1'!$1:$1,0))</f>
        <v>108.837</v>
      </c>
      <c r="AG76" s="229">
        <f>INDEX('3.4.1'!$1:$104,MATCH(AG$4,'3.4.1'!$A:$A,0),MATCH(Summary!$C76,'3.4.1'!$1:$1,0))</f>
        <v>109.737</v>
      </c>
      <c r="AH76" s="229">
        <f>INDEX('3.4.1'!$1:$104,MATCH(AH$4,'3.4.1'!$A:$A,0),MATCH(Summary!$A76,'3.4.1'!$1:$1,0))</f>
        <v>0.9</v>
      </c>
      <c r="AI76" s="229">
        <f>INDEX('3.4.1'!$1:$104,MATCH(AI$4,'3.4.1'!$A:$A,0),MATCH(Summary!$B76,'3.4.1'!$1:$1,0))</f>
        <v>108.88</v>
      </c>
      <c r="AJ76" s="229">
        <f>INDEX('3.4.1'!$1:$104,MATCH(AJ$4,'3.4.1'!$A:$A,0),MATCH(Summary!$C76,'3.4.1'!$1:$1,0))</f>
        <v>109.78</v>
      </c>
      <c r="AK76" s="229">
        <f>INDEX('3.4.1'!$1:$104,MATCH(AK$4,'3.4.1'!$A:$A,0),MATCH(Summary!$A76,'3.4.1'!$1:$1,0))</f>
        <v>0.9</v>
      </c>
      <c r="AL76" s="229">
        <f>INDEX('3.4.1'!$1:$104,MATCH(AL$4,'3.4.1'!$A:$A,0),MATCH(Summary!$B76,'3.4.1'!$1:$1,0))</f>
        <v>97.347</v>
      </c>
      <c r="AM76" s="229">
        <f>INDEX('3.4.1'!$1:$104,MATCH(AM$4,'3.4.1'!$A:$A,0),MATCH(Summary!$C76,'3.4.1'!$1:$1,0))</f>
        <v>98.247</v>
      </c>
      <c r="AN76" s="229">
        <f>INDEX('3.4.1'!$1:$104,MATCH(AN$4,'3.4.1'!$A:$A,0),MATCH(Summary!$A76,'3.4.1'!$1:$1,0))</f>
        <v>0.9</v>
      </c>
      <c r="AO76" s="229">
        <f>INDEX('3.4.1'!$1:$104,MATCH(AO$4,'3.4.1'!$A:$A,0),MATCH(Summary!$B76,'3.4.1'!$1:$1,0))</f>
        <v>107.393</v>
      </c>
      <c r="AP76" s="229">
        <f>INDEX('3.4.1'!$1:$104,MATCH(AP$4,'3.4.1'!$A:$A,0),MATCH(Summary!$C76,'3.4.1'!$1:$1,0))</f>
        <v>108.293</v>
      </c>
      <c r="AQ76" s="229">
        <f>INDEX('3.4.1'!$1:$104,MATCH(AQ$4,'3.4.1'!$A:$A,0),MATCH(Summary!$A76,'3.4.1'!$1:$1,0))</f>
        <v>1.2</v>
      </c>
      <c r="AR76" s="229">
        <f>INDEX('3.4.1'!$1:$104,MATCH(AR$4,'3.4.1'!$A:$A,0),MATCH(Summary!$B76,'3.4.1'!$1:$1,0))</f>
        <v>110.101</v>
      </c>
      <c r="AS76" s="229">
        <f>INDEX('3.4.1'!$1:$104,MATCH(AS$4,'3.4.1'!$A:$A,0),MATCH(Summary!$C76,'3.4.1'!$1:$1,0))</f>
        <v>111.301</v>
      </c>
      <c r="AT76" s="229">
        <f>INDEX('3.4.1'!$1:$104,MATCH(AT$4,'3.4.1'!$A:$A,0),MATCH(Summary!$A76,'3.4.1'!$1:$1,0))</f>
        <v>1.2</v>
      </c>
      <c r="AU76" s="229">
        <f>INDEX('3.4.1'!$1:$104,MATCH(AU$4,'3.4.1'!$A:$A,0),MATCH(Summary!$B76,'3.4.1'!$1:$1,0))</f>
        <v>106.704</v>
      </c>
      <c r="AV76" s="229">
        <f>INDEX('3.4.1'!$1:$104,MATCH(AV$4,'3.4.1'!$A:$A,0),MATCH(Summary!$C76,'3.4.1'!$1:$1,0))</f>
        <v>107.904</v>
      </c>
      <c r="AW76" s="229">
        <f>INDEX('3.4.1'!$1:$104,MATCH(AW$4,'3.4.1'!$A:$A,0),MATCH(Summary!$A76,'3.4.1'!$1:$1,0))</f>
        <v>1.2</v>
      </c>
      <c r="AX76" s="229">
        <f>INDEX('3.4.1'!$1:$104,MATCH(AX$4,'3.4.1'!$A:$A,0),MATCH(Summary!$B76,'3.4.1'!$1:$1,0))</f>
        <v>105.7</v>
      </c>
      <c r="AY76" s="229">
        <f>INDEX('3.4.1'!$1:$104,MATCH(AY$4,'3.4.1'!$A:$A,0),MATCH(Summary!$C76,'3.4.1'!$1:$1,0))</f>
        <v>106.9</v>
      </c>
      <c r="AZ76" s="229">
        <f>INDEX('3.4.1'!$1:$104,MATCH(AZ$4,'3.4.1'!$A:$A,0),MATCH(Summary!$A76,'3.4.1'!$1:$1,0))</f>
        <v>1.5</v>
      </c>
      <c r="BA76" s="229">
        <f>INDEX('3.4.1'!$1:$104,MATCH(BA$4,'3.4.1'!$A:$A,0),MATCH(Summary!$B76,'3.4.1'!$1:$1,0))</f>
        <v>103.484</v>
      </c>
      <c r="BB76" s="229">
        <f>INDEX('3.4.1'!$1:$104,MATCH(BB$4,'3.4.1'!$A:$A,0),MATCH(Summary!$C76,'3.4.1'!$1:$1,0))</f>
        <v>104.984</v>
      </c>
      <c r="BC76" s="229">
        <f>INDEX('3.4.1'!$1:$104,MATCH(BC$4,'3.4.1'!$A:$A,0),MATCH(Summary!$A76,'3.4.1'!$1:$1,0))</f>
        <v>1.4</v>
      </c>
      <c r="BD76" s="229">
        <f>INDEX('3.4.1'!$1:$104,MATCH(BD$4,'3.4.1'!$A:$A,0),MATCH(Summary!$B76,'3.4.1'!$1:$1,0))</f>
        <v>94.331</v>
      </c>
      <c r="BE76" s="229">
        <f>INDEX('3.4.1'!$1:$104,MATCH(BE$4,'3.4.1'!$A:$A,0),MATCH(Summary!$C76,'3.4.1'!$1:$1,0))</f>
        <v>95.731</v>
      </c>
      <c r="BF76" s="229">
        <f>INDEX('3.4.1'!$1:$104,MATCH(BF$4,'3.4.1'!$A:$A,0),MATCH(Summary!$A76,'3.4.1'!$1:$1,0))</f>
        <v>1.5</v>
      </c>
      <c r="BG76" s="229">
        <f>INDEX('3.4.1'!$1:$104,MATCH(BG$4,'3.4.1'!$A:$A,0),MATCH(Summary!$B76,'3.4.1'!$1:$1,0))</f>
        <v>341.204</v>
      </c>
      <c r="BH76" s="229">
        <f>INDEX('3.4.1'!$1:$104,MATCH(BH$4,'3.4.1'!$A:$A,0),MATCH(Summary!$C76,'3.4.1'!$1:$1,0))</f>
        <v>342.704</v>
      </c>
      <c r="BI76" s="229">
        <f>INDEX('3.4.1'!$1:$104,MATCH(BI$4,'3.4.1'!$A:$A,0),MATCH(Summary!$A76,'3.4.1'!$1:$1,0))</f>
        <v>48.6</v>
      </c>
      <c r="BJ76" s="229">
        <f>INDEX('3.4.1'!$1:$104,MATCH(BJ$4,'3.4.1'!$A:$A,0),MATCH(Summary!$B76,'3.4.1'!$1:$1,0))</f>
        <v>396.627</v>
      </c>
      <c r="BK76" s="229">
        <f>INDEX('3.4.1'!$1:$104,MATCH(BK$4,'3.4.1'!$A:$A,0),MATCH(Summary!$C76,'3.4.1'!$1:$1,0))</f>
        <v>445.227</v>
      </c>
    </row>
    <row r="77" s="78" customFormat="1" spans="1:63">
      <c r="F77" s="230"/>
      <c r="G77" s="230"/>
    </row>
    <row r="78" spans="1:63">
      <c r="A78" s="183"/>
      <c r="C78" s="183"/>
      <c r="E78" s="230" t="s">
        <v>214</v>
      </c>
      <c r="F78" s="230" t="s">
        <v>215</v>
      </c>
      <c r="G78" s="230"/>
      <c r="H78" s="230"/>
      <c r="I78" s="230"/>
      <c r="J78" s="230"/>
      <c r="K78" s="230"/>
      <c r="L78" s="230"/>
      <c r="M78" s="230"/>
      <c r="N78" s="230"/>
      <c r="O78" s="230" t="s">
        <v>214</v>
      </c>
      <c r="P78" s="230" t="s">
        <v>216</v>
      </c>
      <c r="Q78" s="230"/>
      <c r="R78" s="230" t="s">
        <v>216</v>
      </c>
      <c r="S78" s="230"/>
      <c r="T78" s="230"/>
      <c r="U78" s="230"/>
      <c r="V78" s="230"/>
    </row>
    <row r="79" spans="1:63">
      <c r="E79" s="230"/>
      <c r="F79" s="230" t="s">
        <v>217</v>
      </c>
      <c r="G79" s="230"/>
      <c r="H79" s="230"/>
      <c r="I79" s="230"/>
      <c r="J79" s="230"/>
      <c r="K79" s="230"/>
      <c r="L79" s="230"/>
      <c r="M79" s="230"/>
      <c r="N79" s="230"/>
      <c r="O79" s="230"/>
      <c r="P79" s="230" t="s">
        <v>218</v>
      </c>
      <c r="Q79" s="230"/>
      <c r="R79" s="230" t="s">
        <v>218</v>
      </c>
      <c r="S79" s="230"/>
      <c r="T79" s="230"/>
      <c r="U79" s="230"/>
      <c r="V79" s="230"/>
    </row>
    <row r="80" spans="1:63">
      <c r="E80" s="230"/>
      <c r="F80" s="230" t="s">
        <v>219</v>
      </c>
      <c r="G80" s="230"/>
      <c r="H80" s="230"/>
      <c r="I80" s="230"/>
      <c r="J80" s="230"/>
      <c r="K80" s="230"/>
      <c r="L80" s="230"/>
      <c r="M80" s="230"/>
      <c r="N80" s="230"/>
      <c r="O80" s="230"/>
      <c r="P80" s="230"/>
      <c r="Q80" s="230"/>
      <c r="R80" s="230"/>
      <c r="S80" s="230"/>
      <c r="T80" s="230"/>
      <c r="U80" s="230"/>
      <c r="V80" s="230"/>
    </row>
    <row r="89" spans="6:6">
      <c r="F89" s="230"/>
    </row>
  </sheetData>
  <conditionalFormatting sqref="H13:H76">
    <cfRule type="dataBar" priority="2">
      <dataBar>
        <cfvo type="min"/>
        <cfvo type="max"/>
        <color rgb="FF63C384"/>
      </dataBar>
      <extLst>
        <ext xmlns:x14="http://schemas.microsoft.com/office/spreadsheetml/2009/9/main" uri="{B025F937-C7B1-47D3-B67F-A62EFF666E3E}">
          <x14:id>{95a56d51-2850-4407-94a9-895c1bd30364}</x14:id>
        </ext>
      </extLst>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95a56d51-2850-4407-94a9-895c1bd30364}">
            <x14:dataBar minLength="0" maxLength="100" border="1" negativeBarBorderColorSameAsPositive="0">
              <x14:cfvo type="autoMin"/>
              <x14:cfvo type="autoMax"/>
              <x14:borderColor rgb="FF63C384"/>
              <x14:negativeFillColor rgb="FFFF0000"/>
              <x14:negativeBorderColor rgb="FFFF0000"/>
              <x14:axisColor rgb="FF000000"/>
            </x14:dataBar>
          </x14:cfRule>
          <xm:sqref>H13:H76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showRowColHeaders="0" zoomScale="87" zoomScaleNormal="87" workbookViewId="0">
      <selection activeCell="A1" sqref="A1"/>
    </sheetView>
  </sheetViews>
  <sheetFormatPr defaultColWidth="9.64285714285714" defaultRowHeight="16.8"/>
  <sheetData/>
  <pageMargins left="0.748031496062992" right="0.748031496062992" top="0.984251968503937" bottom="0.984251968503937" header="0.511811023622047" footer="0.511811023622047"/>
  <pageSetup paperSize="9" orientation="landscape"/>
  <headerFooter alignWithMargins="0">
    <oddFooter>&amp;L&amp;"Times New Roman"&amp;10©2026 Hong Kong Monetary Authority &amp;"PMingLiu"&amp;10香港金融管理局&amp;R&amp;"PMingLiu"&amp;10金融數據月報&amp;"Times New Roman"&amp;10 Monthly Statistical Bulletin 9/2026</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C22" sqref="C22"/>
    </sheetView>
  </sheetViews>
  <sheetFormatPr defaultColWidth="9" defaultRowHeight="16.8" outlineLevelCol="4"/>
  <cols>
    <col min="1" max="1" width="2.14285714285714" style="75" customWidth="1"/>
    <col min="2" max="2" width="16.2857142857143" style="75" customWidth="1"/>
    <col min="3" max="3" width="80.4285714285714" style="75" customWidth="1"/>
    <col min="4" max="16384" width="9.14285714285714" style="75"/>
  </cols>
  <sheetData>
    <row r="2" spans="2:5">
      <c r="B2" s="75" t="s">
        <v>220</v>
      </c>
    </row>
    <row r="3" spans="2:5">
      <c r="B3" s="75" t="s">
        <v>221</v>
      </c>
    </row>
    <row r="5" spans="2:5">
      <c r="B5" s="76" t="s">
        <v>222</v>
      </c>
      <c r="C5" s="76" t="s">
        <v>223</v>
      </c>
      <c r="D5" s="76" t="s">
        <v>224</v>
      </c>
      <c r="E5" s="76"/>
    </row>
    <row r="6" spans="2:5">
      <c r="B6" s="75" t="s">
        <v>225</v>
      </c>
      <c r="C6" s="75" t="s">
        <v>226</v>
      </c>
      <c r="D6" s="75" t="s">
        <v>227</v>
      </c>
    </row>
    <row r="7" spans="2:5">
      <c r="B7" s="75" t="s">
        <v>228</v>
      </c>
      <c r="C7" s="75" t="s">
        <v>229</v>
      </c>
      <c r="D7" s="75" t="s">
        <v>230</v>
      </c>
    </row>
    <row r="8" spans="2:5">
      <c r="B8" s="75" t="s">
        <v>231</v>
      </c>
      <c r="C8" s="75" t="s">
        <v>232</v>
      </c>
      <c r="D8" s="75" t="s">
        <v>233</v>
      </c>
    </row>
    <row r="9" spans="2:5">
      <c r="B9" s="75" t="s">
        <v>234</v>
      </c>
      <c r="C9" s="75" t="s">
        <v>235</v>
      </c>
      <c r="D9" s="75" t="s">
        <v>236</v>
      </c>
    </row>
    <row r="12" spans="2:5">
      <c r="B12" s="77" t="s">
        <v>237</v>
      </c>
    </row>
    <row r="13" spans="2:5">
      <c r="B13" s="75" t="s">
        <v>238</v>
      </c>
    </row>
    <row r="14" spans="2:5">
      <c r="B14" s="75" t="s">
        <v>239</v>
      </c>
    </row>
    <row r="15" spans="2:5">
      <c r="B15" s="75" t="s">
        <v>240</v>
      </c>
    </row>
    <row r="16" spans="2:5">
      <c r="B16" s="75" t="s">
        <v>241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PageLayoutView="60" workbookViewId="0">
      <selection activeCell="E33" sqref="E33"/>
    </sheetView>
  </sheetViews>
  <sheetFormatPr defaultColWidth="9.91964285714286" defaultRowHeight="16.8" outlineLevelCol="5"/>
  <cols>
    <col min="1" max="1" width="6.85714285714286" style="55" customWidth="1"/>
    <col min="2" max="2" width="43.4285714285714" style="55" customWidth="1"/>
    <col min="3" max="3" width="29.7142857142857" style="55" customWidth="1"/>
    <col min="4" max="4" width="22.8571428571429" style="55" customWidth="1"/>
    <col min="5" max="6" width="16" style="55" customWidth="1"/>
    <col min="7" max="16384" width="9.91964285714286" style="55"/>
  </cols>
  <sheetData>
    <row r="1" ht="24" customHeight="1" spans="1:6">
      <c r="A1" s="56" t="s">
        <v>242</v>
      </c>
      <c r="B1" s="56"/>
      <c r="C1" s="56"/>
      <c r="D1" s="56"/>
      <c r="E1" s="56"/>
      <c r="F1" s="56"/>
    </row>
    <row r="2" spans="1:6">
      <c r="A2" s="57" t="s">
        <v>243</v>
      </c>
      <c r="B2" s="57" t="s">
        <v>244</v>
      </c>
      <c r="C2" s="57" t="s">
        <v>245</v>
      </c>
      <c r="D2" s="57" t="s">
        <v>246</v>
      </c>
      <c r="E2" s="57" t="s">
        <v>247</v>
      </c>
      <c r="F2" s="57" t="s">
        <v>248</v>
      </c>
    </row>
    <row r="3" ht="17" spans="1:6">
      <c r="A3" s="58">
        <v>1</v>
      </c>
      <c r="B3" s="59" t="s">
        <v>249</v>
      </c>
      <c r="C3" s="60" t="s">
        <v>250</v>
      </c>
      <c r="D3" s="61">
        <v>153.1</v>
      </c>
      <c r="E3" s="62">
        <f t="shared" ref="E3:E24" si="0">D3/500.9</f>
        <v>0.30564983030545</v>
      </c>
      <c r="F3" s="60" t="s">
        <v>251</v>
      </c>
    </row>
    <row r="4" ht="17" spans="1:6">
      <c r="A4" s="63">
        <v>2</v>
      </c>
      <c r="B4" s="64" t="s">
        <v>252</v>
      </c>
      <c r="C4" s="65" t="s">
        <v>253</v>
      </c>
      <c r="D4" s="66">
        <v>63.5</v>
      </c>
      <c r="E4" s="67">
        <f t="shared" si="0"/>
        <v>0.126771810740667</v>
      </c>
      <c r="F4" s="65" t="s">
        <v>251</v>
      </c>
    </row>
    <row r="5" ht="17" spans="1:6">
      <c r="A5" s="58">
        <v>3</v>
      </c>
      <c r="B5" s="59" t="s">
        <v>254</v>
      </c>
      <c r="C5" s="60" t="s">
        <v>255</v>
      </c>
      <c r="D5" s="61">
        <v>47</v>
      </c>
      <c r="E5" s="62">
        <f t="shared" si="0"/>
        <v>0.093831104012777</v>
      </c>
      <c r="F5" s="60" t="s">
        <v>251</v>
      </c>
    </row>
    <row r="6" ht="17" spans="1:6">
      <c r="A6" s="63">
        <v>4</v>
      </c>
      <c r="B6" s="64" t="s">
        <v>256</v>
      </c>
      <c r="C6" s="65" t="s">
        <v>257</v>
      </c>
      <c r="D6" s="66">
        <v>30.5</v>
      </c>
      <c r="E6" s="67">
        <f t="shared" si="0"/>
        <v>0.0608903972848872</v>
      </c>
      <c r="F6" s="65" t="s">
        <v>251</v>
      </c>
    </row>
    <row r="7" ht="17" spans="1:6">
      <c r="A7" s="58">
        <v>5</v>
      </c>
      <c r="B7" s="59" t="s">
        <v>258</v>
      </c>
      <c r="C7" s="60" t="s">
        <v>259</v>
      </c>
      <c r="D7" s="61">
        <v>27.8</v>
      </c>
      <c r="E7" s="62">
        <f t="shared" si="0"/>
        <v>0.0555000998203234</v>
      </c>
      <c r="F7" s="60" t="s">
        <v>251</v>
      </c>
    </row>
    <row r="8" ht="17" spans="1:6">
      <c r="A8" s="63">
        <v>6</v>
      </c>
      <c r="B8" s="64" t="s">
        <v>260</v>
      </c>
      <c r="C8" s="65" t="s">
        <v>261</v>
      </c>
      <c r="D8" s="66">
        <v>16.9</v>
      </c>
      <c r="E8" s="67">
        <f t="shared" si="0"/>
        <v>0.0337392693152326</v>
      </c>
      <c r="F8" s="65" t="s">
        <v>251</v>
      </c>
    </row>
    <row r="9" ht="17" spans="1:6">
      <c r="A9" s="58">
        <v>7</v>
      </c>
      <c r="B9" s="59" t="s">
        <v>262</v>
      </c>
      <c r="C9" s="60" t="s">
        <v>263</v>
      </c>
      <c r="D9" s="61">
        <v>10.8</v>
      </c>
      <c r="E9" s="62">
        <f t="shared" si="0"/>
        <v>0.0215611898582551</v>
      </c>
      <c r="F9" s="60" t="s">
        <v>251</v>
      </c>
    </row>
    <row r="10" ht="17" spans="1:6">
      <c r="A10" s="63">
        <v>8</v>
      </c>
      <c r="B10" s="64" t="s">
        <v>264</v>
      </c>
      <c r="C10" s="65" t="s">
        <v>265</v>
      </c>
      <c r="D10" s="66">
        <v>10.4</v>
      </c>
      <c r="E10" s="67">
        <f t="shared" si="0"/>
        <v>0.0207626272709124</v>
      </c>
      <c r="F10" s="65" t="s">
        <v>251</v>
      </c>
    </row>
    <row r="11" ht="17" spans="1:6">
      <c r="A11" s="58">
        <v>9</v>
      </c>
      <c r="B11" s="59" t="s">
        <v>266</v>
      </c>
      <c r="C11" s="60" t="s">
        <v>267</v>
      </c>
      <c r="D11" s="61">
        <v>9.8</v>
      </c>
      <c r="E11" s="62">
        <f t="shared" si="0"/>
        <v>0.0195647833898982</v>
      </c>
      <c r="F11" s="60" t="s">
        <v>251</v>
      </c>
    </row>
    <row r="12" ht="17" spans="1:6">
      <c r="A12" s="63">
        <v>10</v>
      </c>
      <c r="B12" s="64" t="s">
        <v>268</v>
      </c>
      <c r="C12" s="65" t="s">
        <v>269</v>
      </c>
      <c r="D12" s="66">
        <v>9.7</v>
      </c>
      <c r="E12" s="67">
        <f t="shared" si="0"/>
        <v>0.0193651427430625</v>
      </c>
      <c r="F12" s="65" t="s">
        <v>251</v>
      </c>
    </row>
    <row r="13" ht="17" spans="1:6">
      <c r="A13" s="58">
        <v>11</v>
      </c>
      <c r="B13" s="59" t="s">
        <v>270</v>
      </c>
      <c r="C13" s="60" t="s">
        <v>271</v>
      </c>
      <c r="D13" s="61">
        <v>9.7</v>
      </c>
      <c r="E13" s="62">
        <f t="shared" si="0"/>
        <v>0.0193651427430625</v>
      </c>
      <c r="F13" s="60" t="s">
        <v>272</v>
      </c>
    </row>
    <row r="14" ht="17" spans="1:6">
      <c r="A14" s="63">
        <v>12</v>
      </c>
      <c r="B14" s="64" t="s">
        <v>273</v>
      </c>
      <c r="C14" s="65" t="s">
        <v>274</v>
      </c>
      <c r="D14" s="66">
        <v>9.6</v>
      </c>
      <c r="E14" s="67">
        <f t="shared" si="0"/>
        <v>0.0191655020962268</v>
      </c>
      <c r="F14" s="65" t="s">
        <v>272</v>
      </c>
    </row>
    <row r="15" ht="17" spans="1:6">
      <c r="A15" s="58">
        <v>13</v>
      </c>
      <c r="B15" s="59" t="s">
        <v>275</v>
      </c>
      <c r="C15" s="60" t="s">
        <v>276</v>
      </c>
      <c r="D15" s="61">
        <v>8.9</v>
      </c>
      <c r="E15" s="62">
        <f t="shared" si="0"/>
        <v>0.0177680175683769</v>
      </c>
      <c r="F15" s="60" t="s">
        <v>272</v>
      </c>
    </row>
    <row r="16" ht="17" spans="1:6">
      <c r="A16" s="63">
        <v>14</v>
      </c>
      <c r="B16" s="64" t="s">
        <v>277</v>
      </c>
      <c r="C16" s="65" t="s">
        <v>278</v>
      </c>
      <c r="D16" s="66">
        <v>7.6</v>
      </c>
      <c r="E16" s="67">
        <f t="shared" si="0"/>
        <v>0.0151726891595129</v>
      </c>
      <c r="F16" s="65" t="s">
        <v>272</v>
      </c>
    </row>
    <row r="17" ht="17" spans="1:6">
      <c r="A17" s="58">
        <v>15</v>
      </c>
      <c r="B17" s="59" t="s">
        <v>279</v>
      </c>
      <c r="C17" s="60" t="s">
        <v>280</v>
      </c>
      <c r="D17" s="61">
        <v>7.2</v>
      </c>
      <c r="E17" s="62">
        <f t="shared" si="0"/>
        <v>0.0143741265721701</v>
      </c>
      <c r="F17" s="60" t="s">
        <v>272</v>
      </c>
    </row>
    <row r="18" ht="17" spans="1:6">
      <c r="A18" s="63">
        <v>16</v>
      </c>
      <c r="B18" s="64" t="s">
        <v>281</v>
      </c>
      <c r="C18" s="65" t="s">
        <v>282</v>
      </c>
      <c r="D18" s="66">
        <v>6.9</v>
      </c>
      <c r="E18" s="67">
        <f t="shared" si="0"/>
        <v>0.013775204631663</v>
      </c>
      <c r="F18" s="65" t="s">
        <v>272</v>
      </c>
    </row>
    <row r="19" ht="17" spans="1:6">
      <c r="A19" s="58">
        <v>17</v>
      </c>
      <c r="B19" s="59" t="s">
        <v>283</v>
      </c>
      <c r="C19" s="60" t="s">
        <v>284</v>
      </c>
      <c r="D19" s="61">
        <v>6.5</v>
      </c>
      <c r="E19" s="62">
        <f t="shared" si="0"/>
        <v>0.0129766420443202</v>
      </c>
      <c r="F19" s="60" t="s">
        <v>272</v>
      </c>
    </row>
    <row r="20" ht="17" spans="1:6">
      <c r="A20" s="63">
        <v>18</v>
      </c>
      <c r="B20" s="64" t="s">
        <v>285</v>
      </c>
      <c r="C20" s="65" t="s">
        <v>286</v>
      </c>
      <c r="D20" s="66">
        <v>6.4</v>
      </c>
      <c r="E20" s="67">
        <f t="shared" si="0"/>
        <v>0.0127770013974845</v>
      </c>
      <c r="F20" s="65" t="s">
        <v>272</v>
      </c>
    </row>
    <row r="21" ht="17" spans="1:6">
      <c r="A21" s="58">
        <v>19</v>
      </c>
      <c r="B21" s="59" t="s">
        <v>287</v>
      </c>
      <c r="C21" s="60" t="s">
        <v>288</v>
      </c>
      <c r="D21" s="61">
        <v>4.9</v>
      </c>
      <c r="E21" s="62">
        <f t="shared" si="0"/>
        <v>0.00978239169494909</v>
      </c>
      <c r="F21" s="60" t="s">
        <v>272</v>
      </c>
    </row>
    <row r="22" ht="17" spans="1:6">
      <c r="A22" s="63">
        <v>20</v>
      </c>
      <c r="B22" s="64" t="s">
        <v>289</v>
      </c>
      <c r="C22" s="65" t="s">
        <v>290</v>
      </c>
      <c r="D22" s="66">
        <v>4.7</v>
      </c>
      <c r="E22" s="67">
        <f t="shared" si="0"/>
        <v>0.0093831104012777</v>
      </c>
      <c r="F22" s="65" t="s">
        <v>272</v>
      </c>
    </row>
    <row r="23" spans="1:6">
      <c r="A23" s="58" t="s">
        <v>291</v>
      </c>
      <c r="B23" s="59" t="s">
        <v>113</v>
      </c>
      <c r="C23" s="60" t="s">
        <v>114</v>
      </c>
      <c r="D23" s="61">
        <v>49.1</v>
      </c>
      <c r="E23" s="62">
        <f t="shared" si="0"/>
        <v>0.0980235575963266</v>
      </c>
      <c r="F23" s="60" t="s">
        <v>114</v>
      </c>
    </row>
    <row r="24" ht="17" spans="1:6">
      <c r="B24" s="68" t="s">
        <v>292</v>
      </c>
      <c r="D24" s="69">
        <f>SUM(D3:D23)</f>
        <v>501</v>
      </c>
      <c r="E24" s="70">
        <f t="shared" si="0"/>
        <v>1.00019964064684</v>
      </c>
    </row>
    <row r="26" spans="1:6">
      <c r="A26" s="71" t="s">
        <v>293</v>
      </c>
      <c r="B26" s="71"/>
      <c r="C26" s="71"/>
      <c r="D26" s="71"/>
      <c r="E26" s="71"/>
      <c r="F26" s="71"/>
    </row>
    <row r="28" ht="21" spans="1:6">
      <c r="A28" s="56" t="s">
        <v>294</v>
      </c>
      <c r="B28" s="56"/>
      <c r="C28" s="56"/>
    </row>
    <row r="29" spans="1:6">
      <c r="A29" s="72" t="s">
        <v>295</v>
      </c>
      <c r="B29" s="72" t="s">
        <v>296</v>
      </c>
      <c r="C29" s="72" t="s">
        <v>297</v>
      </c>
    </row>
    <row r="30" ht="30" spans="1:6">
      <c r="A30" s="73" t="s">
        <v>298</v>
      </c>
      <c r="B30" s="74" t="s">
        <v>299</v>
      </c>
      <c r="C30" s="73" t="s">
        <v>300</v>
      </c>
    </row>
    <row r="31" ht="107" spans="1:6">
      <c r="A31" s="73" t="s">
        <v>301</v>
      </c>
      <c r="B31" s="74" t="s">
        <v>302</v>
      </c>
      <c r="C31" s="74" t="s">
        <v>303</v>
      </c>
    </row>
    <row r="32" ht="59" spans="1:6">
      <c r="A32" s="73" t="s">
        <v>304</v>
      </c>
      <c r="B32" s="74" t="s">
        <v>305</v>
      </c>
      <c r="C32" s="73" t="s">
        <v>306</v>
      </c>
    </row>
    <row r="33" ht="59" spans="1:3">
      <c r="A33" s="73" t="s">
        <v>307</v>
      </c>
      <c r="B33" s="74" t="s">
        <v>308</v>
      </c>
      <c r="C33" s="73" t="s">
        <v>309</v>
      </c>
    </row>
    <row r="34" ht="126" spans="1:3">
      <c r="A34" s="73" t="s">
        <v>310</v>
      </c>
      <c r="B34" s="74" t="s">
        <v>311</v>
      </c>
      <c r="C34" s="73" t="s">
        <v>312</v>
      </c>
    </row>
    <row r="35" ht="45" spans="1:3">
      <c r="A35" s="73" t="s">
        <v>313</v>
      </c>
      <c r="B35" s="74" t="s">
        <v>314</v>
      </c>
      <c r="C35" s="73" t="s">
        <v>315</v>
      </c>
    </row>
    <row r="36" ht="112" spans="1:3">
      <c r="A36" s="73" t="s">
        <v>316</v>
      </c>
      <c r="B36" s="74" t="s">
        <v>317</v>
      </c>
      <c r="C36" s="74" t="s">
        <v>318</v>
      </c>
    </row>
  </sheetData>
  <mergeCells count="3">
    <mergeCell ref="A1:F1"/>
    <mergeCell ref="A26:F26"/>
    <mergeCell ref="A28:C28"/>
  </mergeCells>
  <pageMargins left="0.75" right="0.75" top="1" bottom="1"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
  <sheetViews>
    <sheetView topLeftCell="A8" workbookViewId="0">
      <selection activeCell="J22" sqref="J22"/>
    </sheetView>
  </sheetViews>
  <sheetFormatPr defaultColWidth="9" defaultRowHeight="16.8"/>
  <cols>
    <col min="3" max="8" width="14.8571428571429" customWidth="1"/>
    <col min="9" max="11" width="14.8571428571429" style="52" customWidth="1"/>
    <col min="12" max="12" width="10.2857142857143" customWidth="1"/>
  </cols>
  <sheetData>
    <row r="1" ht="71" spans="1:17">
      <c r="A1" s="19" t="s">
        <v>319</v>
      </c>
      <c r="B1" s="19" t="s">
        <v>320</v>
      </c>
      <c r="C1" s="19" t="s">
        <v>321</v>
      </c>
      <c r="D1" s="19" t="s">
        <v>322</v>
      </c>
      <c r="E1" s="19" t="s">
        <v>323</v>
      </c>
      <c r="F1" s="19" t="s">
        <v>324</v>
      </c>
      <c r="G1" s="19" t="s">
        <v>325</v>
      </c>
      <c r="H1" s="19" t="s">
        <v>326</v>
      </c>
      <c r="I1" s="43" t="s">
        <v>25</v>
      </c>
      <c r="J1" s="43" t="s">
        <v>204</v>
      </c>
      <c r="K1" s="43" t="s">
        <v>23</v>
      </c>
      <c r="L1" s="19" t="s">
        <v>327</v>
      </c>
      <c r="M1" s="19" t="s">
        <v>328</v>
      </c>
      <c r="N1" s="19" t="s">
        <v>329</v>
      </c>
      <c r="O1" s="19" t="s">
        <v>330</v>
      </c>
      <c r="Q1" s="53" t="s">
        <v>331</v>
      </c>
    </row>
    <row r="2" ht="53" spans="1:17">
      <c r="A2" s="19"/>
      <c r="B2" s="19"/>
      <c r="C2" s="19"/>
      <c r="D2" s="19"/>
      <c r="E2" s="19"/>
      <c r="F2" s="19"/>
      <c r="G2" s="19"/>
      <c r="H2" s="19"/>
      <c r="I2" s="43" t="s">
        <v>332</v>
      </c>
      <c r="J2" s="43" t="s">
        <v>333</v>
      </c>
      <c r="K2" s="43" t="s">
        <v>334</v>
      </c>
      <c r="L2" s="19"/>
      <c r="M2" s="19"/>
      <c r="N2" s="19"/>
      <c r="O2" s="19"/>
    </row>
    <row r="3" ht="18" spans="1:17">
      <c r="A3" s="20" t="s">
        <v>335</v>
      </c>
      <c r="B3" s="20">
        <v>174</v>
      </c>
      <c r="C3" s="20"/>
      <c r="D3" s="20"/>
      <c r="E3" s="20"/>
      <c r="F3" s="20"/>
      <c r="G3" s="20"/>
      <c r="H3" s="20"/>
      <c r="I3" s="54"/>
      <c r="J3" s="54"/>
      <c r="K3" s="54"/>
      <c r="L3" s="20"/>
      <c r="M3" s="20"/>
      <c r="N3" s="20"/>
      <c r="O3" s="20"/>
    </row>
    <row r="4" ht="18" spans="1:17">
      <c r="A4" s="20" t="s">
        <v>1</v>
      </c>
      <c r="B4" s="20">
        <v>174</v>
      </c>
      <c r="C4" s="20">
        <v>33352005.161</v>
      </c>
      <c r="D4" s="20"/>
      <c r="E4" s="20"/>
      <c r="F4" s="20">
        <v>8641180.404</v>
      </c>
      <c r="G4" s="20">
        <v>11920846.744</v>
      </c>
      <c r="H4" s="20">
        <v>20562027.148</v>
      </c>
      <c r="I4" s="54">
        <v>8070867.022</v>
      </c>
      <c r="J4" s="54">
        <v>2738987.174</v>
      </c>
      <c r="K4" s="54">
        <v>10809854.196</v>
      </c>
      <c r="L4" s="20">
        <v>1963470</v>
      </c>
      <c r="M4" s="20"/>
      <c r="N4" s="20">
        <v>0.11</v>
      </c>
      <c r="O4" s="20"/>
    </row>
    <row r="5" ht="18" spans="1:17">
      <c r="A5" s="20" t="s">
        <v>336</v>
      </c>
      <c r="B5" s="20">
        <v>174</v>
      </c>
      <c r="C5" s="20">
        <v>33140208.997</v>
      </c>
      <c r="D5" s="20">
        <v>19749039</v>
      </c>
      <c r="E5" s="20">
        <v>12059633</v>
      </c>
      <c r="F5" s="20">
        <v>8567402.859</v>
      </c>
      <c r="G5" s="20">
        <v>11813615.909</v>
      </c>
      <c r="H5" s="20">
        <v>20381018.768</v>
      </c>
      <c r="I5" s="54">
        <v>8095245.181</v>
      </c>
      <c r="J5" s="54">
        <v>2692650.531</v>
      </c>
      <c r="K5" s="54">
        <v>10787895.712</v>
      </c>
      <c r="L5" s="20">
        <v>1955022</v>
      </c>
      <c r="M5" s="20">
        <v>1.95966941200205</v>
      </c>
      <c r="N5" s="20">
        <v>0.11</v>
      </c>
      <c r="O5" s="20">
        <v>2.45</v>
      </c>
    </row>
    <row r="6" ht="18" spans="1:17">
      <c r="A6" s="20" t="s">
        <v>337</v>
      </c>
      <c r="B6" s="20">
        <v>175</v>
      </c>
      <c r="C6" s="20">
        <v>32694260.682</v>
      </c>
      <c r="D6" s="20">
        <v>18964652.585</v>
      </c>
      <c r="E6" s="20">
        <v>12119489.224</v>
      </c>
      <c r="F6" s="20">
        <v>8492985.342</v>
      </c>
      <c r="G6" s="20">
        <v>11875531.701</v>
      </c>
      <c r="H6" s="20">
        <v>20368517.043</v>
      </c>
      <c r="I6" s="54">
        <v>7981206.28</v>
      </c>
      <c r="J6" s="54">
        <v>2664945.935</v>
      </c>
      <c r="K6" s="54">
        <v>10646152.215</v>
      </c>
      <c r="L6" s="20">
        <v>1946916</v>
      </c>
      <c r="M6" s="20"/>
      <c r="N6" s="20">
        <v>0.11</v>
      </c>
      <c r="O6" s="20"/>
    </row>
    <row r="7" ht="18" spans="1:17">
      <c r="A7" s="20" t="s">
        <v>338</v>
      </c>
      <c r="B7" s="20">
        <v>175</v>
      </c>
      <c r="C7" s="20">
        <v>31975046.008</v>
      </c>
      <c r="D7" s="20">
        <v>18482620.459</v>
      </c>
      <c r="E7" s="20">
        <v>11885756.04</v>
      </c>
      <c r="F7" s="20">
        <v>8393181.232</v>
      </c>
      <c r="G7" s="20">
        <v>11512349.958</v>
      </c>
      <c r="H7" s="20">
        <v>19905531.19</v>
      </c>
      <c r="I7" s="54">
        <v>7869195.503</v>
      </c>
      <c r="J7" s="54">
        <v>2627662.124</v>
      </c>
      <c r="K7" s="54">
        <v>10496857.627</v>
      </c>
      <c r="L7" s="20">
        <v>1939561</v>
      </c>
      <c r="M7" s="20"/>
      <c r="N7" s="20">
        <v>0.12</v>
      </c>
      <c r="O7" s="20"/>
    </row>
    <row r="8" ht="18" spans="1:17">
      <c r="A8" s="20" t="s">
        <v>339</v>
      </c>
      <c r="B8" s="20">
        <v>175</v>
      </c>
      <c r="C8" s="20">
        <v>31610690.587</v>
      </c>
      <c r="D8" s="20">
        <v>18444095</v>
      </c>
      <c r="E8" s="20">
        <v>11503996</v>
      </c>
      <c r="F8" s="20">
        <v>8289063.083</v>
      </c>
      <c r="G8" s="20">
        <v>11328273.177</v>
      </c>
      <c r="H8" s="20">
        <v>19617336.26</v>
      </c>
      <c r="I8" s="54">
        <v>7861821.785</v>
      </c>
      <c r="J8" s="54">
        <v>2578456.29</v>
      </c>
      <c r="K8" s="54">
        <v>10440278.075</v>
      </c>
      <c r="L8" s="20">
        <v>1934866</v>
      </c>
      <c r="M8" s="20">
        <v>2.05951690359419</v>
      </c>
      <c r="N8" s="20">
        <v>0.13</v>
      </c>
      <c r="O8" s="20">
        <v>2.25</v>
      </c>
    </row>
    <row r="9" ht="18" spans="1:17">
      <c r="A9" s="20" t="s">
        <v>340</v>
      </c>
      <c r="B9" s="20">
        <v>175</v>
      </c>
      <c r="C9" s="20">
        <v>31606316.305</v>
      </c>
      <c r="D9" s="20">
        <v>18293946.206</v>
      </c>
      <c r="E9" s="20">
        <v>11647086.233</v>
      </c>
      <c r="F9" s="20">
        <v>8232336.387</v>
      </c>
      <c r="G9" s="20">
        <v>11367191.049</v>
      </c>
      <c r="H9" s="20">
        <v>19599527.436</v>
      </c>
      <c r="I9" s="54">
        <v>7721916.892</v>
      </c>
      <c r="J9" s="54">
        <v>2580372.894</v>
      </c>
      <c r="K9" s="54">
        <v>10302289.786</v>
      </c>
      <c r="L9" s="20">
        <v>1926330</v>
      </c>
      <c r="M9" s="20"/>
      <c r="N9" s="20">
        <v>0.13</v>
      </c>
      <c r="O9" s="20"/>
    </row>
    <row r="10" ht="18" spans="1:17">
      <c r="A10" s="20" t="s">
        <v>341</v>
      </c>
      <c r="B10" s="20">
        <v>176</v>
      </c>
      <c r="C10" s="20">
        <v>31305047.351</v>
      </c>
      <c r="D10" s="20">
        <v>18136105.766</v>
      </c>
      <c r="E10" s="20">
        <v>11454207.529</v>
      </c>
      <c r="F10" s="20">
        <v>8244954.095</v>
      </c>
      <c r="G10" s="20">
        <v>11174158.827</v>
      </c>
      <c r="H10" s="20">
        <v>19419112.922</v>
      </c>
      <c r="I10" s="54">
        <v>7688694.244</v>
      </c>
      <c r="J10" s="54">
        <v>2556717.233</v>
      </c>
      <c r="K10" s="54">
        <v>10245411.477</v>
      </c>
      <c r="L10" s="20">
        <v>1923354</v>
      </c>
      <c r="M10" s="20"/>
      <c r="N10" s="20">
        <v>0.13</v>
      </c>
      <c r="O10" s="20"/>
    </row>
    <row r="11" ht="18" spans="1:17">
      <c r="A11" s="20" t="s">
        <v>342</v>
      </c>
      <c r="B11" s="20">
        <v>176</v>
      </c>
      <c r="C11" s="20">
        <v>30637568.452</v>
      </c>
      <c r="D11" s="20">
        <v>18027007</v>
      </c>
      <c r="E11" s="20">
        <v>10858537</v>
      </c>
      <c r="F11" s="20">
        <v>8136778.431</v>
      </c>
      <c r="G11" s="20">
        <v>11294485.094</v>
      </c>
      <c r="H11" s="20">
        <v>19431263.525</v>
      </c>
      <c r="I11" s="54">
        <v>7635305.071</v>
      </c>
      <c r="J11" s="54">
        <v>2500837.401</v>
      </c>
      <c r="K11" s="54">
        <v>10136142.472</v>
      </c>
      <c r="L11" s="20">
        <v>1917499</v>
      </c>
      <c r="M11" s="20">
        <v>2.19446479339704</v>
      </c>
      <c r="N11" s="20">
        <v>0.14</v>
      </c>
      <c r="O11" s="20">
        <v>2.5</v>
      </c>
    </row>
    <row r="12" ht="18" spans="1:17">
      <c r="A12" s="20" t="s">
        <v>343</v>
      </c>
      <c r="B12" s="20">
        <v>176</v>
      </c>
      <c r="C12" s="20">
        <v>30103347.595</v>
      </c>
      <c r="D12" s="20">
        <v>17428578.393</v>
      </c>
      <c r="E12" s="20">
        <v>10881447.266</v>
      </c>
      <c r="F12" s="20">
        <v>8102066.166</v>
      </c>
      <c r="G12" s="20">
        <v>11101196.191</v>
      </c>
      <c r="H12" s="20">
        <v>19203262.357</v>
      </c>
      <c r="I12" s="54">
        <v>7546764.365</v>
      </c>
      <c r="J12" s="54">
        <v>2455791.411</v>
      </c>
      <c r="K12" s="54">
        <v>10002555.776</v>
      </c>
      <c r="L12" s="20">
        <v>1913539</v>
      </c>
      <c r="M12" s="20"/>
      <c r="N12" s="20">
        <v>0.14</v>
      </c>
      <c r="O12" s="20"/>
    </row>
    <row r="13" ht="18" spans="1:17">
      <c r="A13" s="20" t="s">
        <v>344</v>
      </c>
      <c r="B13" s="20">
        <v>176</v>
      </c>
      <c r="C13" s="20">
        <v>29719148.734</v>
      </c>
      <c r="D13" s="20">
        <v>17180342.11</v>
      </c>
      <c r="E13" s="20">
        <v>10779361.472</v>
      </c>
      <c r="F13" s="20">
        <v>8083717.367</v>
      </c>
      <c r="G13" s="20">
        <v>10976794.334</v>
      </c>
      <c r="H13" s="20">
        <v>19060511.701</v>
      </c>
      <c r="I13" s="54">
        <v>7551750.302</v>
      </c>
      <c r="J13" s="54">
        <v>2445317.214</v>
      </c>
      <c r="K13" s="54">
        <v>9997067.516</v>
      </c>
      <c r="L13" s="20">
        <v>1907407</v>
      </c>
      <c r="M13" s="20"/>
      <c r="N13" s="20">
        <v>0.13</v>
      </c>
      <c r="O13" s="20"/>
    </row>
    <row r="14" ht="18" spans="1:17">
      <c r="A14" s="20" t="s">
        <v>345</v>
      </c>
      <c r="B14" s="20">
        <v>176</v>
      </c>
      <c r="C14" s="20">
        <v>30022230.763</v>
      </c>
      <c r="D14" s="20">
        <v>17345507</v>
      </c>
      <c r="E14" s="20">
        <v>10578398</v>
      </c>
      <c r="F14" s="20">
        <v>8159087.824</v>
      </c>
      <c r="G14" s="20">
        <v>10985365.491</v>
      </c>
      <c r="H14" s="20">
        <v>19144453.315</v>
      </c>
      <c r="I14" s="54">
        <v>7617255.615</v>
      </c>
      <c r="J14" s="54">
        <v>2451320.473</v>
      </c>
      <c r="K14" s="54">
        <v>10068576.088</v>
      </c>
      <c r="L14" s="20">
        <v>1891402</v>
      </c>
      <c r="M14" s="20">
        <v>2.14303866300739</v>
      </c>
      <c r="N14" s="20">
        <v>0.13</v>
      </c>
      <c r="O14" s="20">
        <v>2.57</v>
      </c>
    </row>
    <row r="15" ht="18" spans="1:17">
      <c r="A15" s="20" t="s">
        <v>346</v>
      </c>
      <c r="B15" s="20">
        <v>176</v>
      </c>
      <c r="C15" s="20">
        <v>29751686.43</v>
      </c>
      <c r="D15" s="20">
        <v>17043373.789</v>
      </c>
      <c r="E15" s="20">
        <v>10741681.181</v>
      </c>
      <c r="F15" s="20">
        <v>8045178.381</v>
      </c>
      <c r="G15" s="20">
        <v>10847152.759</v>
      </c>
      <c r="H15" s="20">
        <v>18892331.14</v>
      </c>
      <c r="I15" s="54">
        <v>7570020.563</v>
      </c>
      <c r="J15" s="54">
        <v>2433495.815</v>
      </c>
      <c r="K15" s="54">
        <v>10003516.378</v>
      </c>
      <c r="L15" s="20">
        <v>1888314</v>
      </c>
      <c r="M15" s="20"/>
      <c r="N15" s="20">
        <v>0.13</v>
      </c>
      <c r="O15" s="20"/>
    </row>
    <row r="16" ht="18" spans="1:17">
      <c r="A16" s="20" t="s">
        <v>347</v>
      </c>
      <c r="B16" s="20">
        <v>175</v>
      </c>
      <c r="C16" s="20">
        <v>29633336.633</v>
      </c>
      <c r="D16" s="20">
        <v>16988948.305</v>
      </c>
      <c r="E16" s="20">
        <v>10818121.122</v>
      </c>
      <c r="F16" s="20">
        <v>8221343.91</v>
      </c>
      <c r="G16" s="20">
        <v>10505291.167</v>
      </c>
      <c r="H16" s="20">
        <v>18726635.077</v>
      </c>
      <c r="I16" s="54">
        <v>7577126.273</v>
      </c>
      <c r="J16" s="54">
        <v>2464434.154</v>
      </c>
      <c r="K16" s="54">
        <v>10041560.427</v>
      </c>
      <c r="L16" s="20">
        <v>1887335</v>
      </c>
      <c r="M16" s="20"/>
      <c r="N16" s="20">
        <v>0.13</v>
      </c>
      <c r="O16" s="20"/>
    </row>
    <row r="17" ht="18" spans="1:15">
      <c r="A17" s="20" t="s">
        <v>348</v>
      </c>
      <c r="B17" s="20">
        <v>175</v>
      </c>
      <c r="C17" s="20">
        <v>29846236.782</v>
      </c>
      <c r="D17" s="20">
        <v>17077498</v>
      </c>
      <c r="E17" s="20">
        <v>10716437</v>
      </c>
      <c r="F17" s="20">
        <v>8386245.864</v>
      </c>
      <c r="G17" s="20">
        <v>10312216.251</v>
      </c>
      <c r="H17" s="20">
        <v>18698462.115</v>
      </c>
      <c r="I17" s="54">
        <v>7650101.444</v>
      </c>
      <c r="J17" s="54">
        <v>2508279.951</v>
      </c>
      <c r="K17" s="54">
        <v>10158381.395</v>
      </c>
      <c r="L17" s="20">
        <v>1885559</v>
      </c>
      <c r="M17" s="20">
        <v>2.13487579234569</v>
      </c>
      <c r="N17" s="20">
        <v>0.13</v>
      </c>
      <c r="O17" s="20">
        <v>2.57</v>
      </c>
    </row>
    <row r="18" ht="18" spans="1:15">
      <c r="A18" s="20" t="s">
        <v>349</v>
      </c>
      <c r="B18" s="20">
        <v>176</v>
      </c>
      <c r="C18" s="20">
        <v>30637568.452</v>
      </c>
      <c r="D18" s="20">
        <v>18027007</v>
      </c>
      <c r="E18" s="20">
        <v>10858537</v>
      </c>
      <c r="F18" s="20">
        <v>8136778.431</v>
      </c>
      <c r="G18" s="20">
        <v>11294485.094</v>
      </c>
      <c r="H18" s="20">
        <v>19431263.525</v>
      </c>
      <c r="I18" s="54">
        <v>7635305.071</v>
      </c>
      <c r="J18" s="54">
        <v>2500837.401</v>
      </c>
      <c r="K18" s="54">
        <v>10136142.472</v>
      </c>
      <c r="L18" s="20">
        <v>1917499</v>
      </c>
      <c r="M18" s="20">
        <v>2.19446479339704</v>
      </c>
      <c r="N18" s="20">
        <v>0.14</v>
      </c>
      <c r="O18" s="20">
        <v>2.37</v>
      </c>
    </row>
    <row r="19" ht="18" spans="1:15">
      <c r="A19" s="20" t="s">
        <v>2</v>
      </c>
      <c r="B19" s="20">
        <v>176</v>
      </c>
      <c r="C19" s="20">
        <v>28457222.815</v>
      </c>
      <c r="D19" s="20">
        <v>16028131</v>
      </c>
      <c r="E19" s="20">
        <v>10458537</v>
      </c>
      <c r="F19" s="20">
        <v>7839207.395</v>
      </c>
      <c r="G19" s="20">
        <v>9533510.261</v>
      </c>
      <c r="H19" s="20">
        <v>17372717.656</v>
      </c>
      <c r="I19" s="54">
        <v>7489982.206</v>
      </c>
      <c r="J19" s="54">
        <v>2417825.776</v>
      </c>
      <c r="K19" s="54">
        <v>9907807.982</v>
      </c>
      <c r="L19" s="20">
        <v>1870642</v>
      </c>
      <c r="M19" s="20">
        <v>2.17888566981418</v>
      </c>
      <c r="N19" s="20">
        <v>0.11</v>
      </c>
      <c r="O19" s="20">
        <v>2.18</v>
      </c>
    </row>
    <row r="20" ht="18" spans="1:15">
      <c r="A20" s="20" t="s">
        <v>3</v>
      </c>
      <c r="B20" s="20">
        <v>179</v>
      </c>
      <c r="C20" s="20">
        <v>27283034.139</v>
      </c>
      <c r="D20" s="20">
        <v>14620985</v>
      </c>
      <c r="E20" s="20">
        <v>10394505</v>
      </c>
      <c r="F20" s="20">
        <v>7623772.335</v>
      </c>
      <c r="G20" s="20">
        <v>8598297.372</v>
      </c>
      <c r="H20" s="20">
        <v>16222069.707</v>
      </c>
      <c r="I20" s="54">
        <v>7627950.886</v>
      </c>
      <c r="J20" s="54">
        <v>2563364.555</v>
      </c>
      <c r="K20" s="54">
        <v>10191315.441</v>
      </c>
      <c r="L20" s="20">
        <v>1855080</v>
      </c>
      <c r="M20" s="20">
        <v>1.68208057995994</v>
      </c>
      <c r="N20" s="20">
        <v>0.08</v>
      </c>
      <c r="O20" s="20">
        <v>1.74</v>
      </c>
    </row>
    <row r="21" ht="18" spans="1:15">
      <c r="A21" s="20" t="s">
        <v>4</v>
      </c>
      <c r="B21" s="20">
        <v>182</v>
      </c>
      <c r="C21" s="20">
        <v>27031411.368</v>
      </c>
      <c r="D21" s="20">
        <v>14249254</v>
      </c>
      <c r="E21" s="20">
        <v>10698112</v>
      </c>
      <c r="F21" s="20">
        <v>7468229.867</v>
      </c>
      <c r="G21" s="20">
        <v>7971455.396</v>
      </c>
      <c r="H21" s="20">
        <v>15439685.263</v>
      </c>
      <c r="I21" s="54">
        <v>7710340.602</v>
      </c>
      <c r="J21" s="54">
        <v>2860957.143</v>
      </c>
      <c r="K21" s="54">
        <v>10571297.745</v>
      </c>
      <c r="L21" s="20">
        <v>1809906</v>
      </c>
      <c r="M21" s="20">
        <v>1.41778668921543</v>
      </c>
      <c r="N21" s="20">
        <v>0.06</v>
      </c>
      <c r="O21" s="20">
        <v>1.49</v>
      </c>
    </row>
    <row r="22" ht="18" spans="1:15">
      <c r="A22" s="20" t="s">
        <v>5</v>
      </c>
      <c r="B22" s="20">
        <v>188</v>
      </c>
      <c r="C22" s="20">
        <v>26367228.051</v>
      </c>
      <c r="D22" s="20">
        <v>13592959</v>
      </c>
      <c r="E22" s="20">
        <v>10725207</v>
      </c>
      <c r="F22" s="20">
        <v>7414380.908</v>
      </c>
      <c r="G22" s="20">
        <v>7771839.263</v>
      </c>
      <c r="H22" s="20">
        <v>15186220.171</v>
      </c>
      <c r="I22" s="54">
        <v>7712295.503</v>
      </c>
      <c r="J22" s="54">
        <v>3180851.767</v>
      </c>
      <c r="K22" s="54">
        <v>10893147.27</v>
      </c>
      <c r="L22" s="20">
        <v>1736412</v>
      </c>
      <c r="M22" s="20">
        <v>0.847853954850662</v>
      </c>
      <c r="N22" s="20">
        <v>0.04</v>
      </c>
      <c r="O22" s="20">
        <v>1.75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4"/>
  <sheetViews>
    <sheetView workbookViewId="0">
      <selection activeCell="A22" sqref="A22"/>
    </sheetView>
  </sheetViews>
  <sheetFormatPr defaultColWidth="9" defaultRowHeight="16.8"/>
  <cols>
    <col min="1" max="1" width="8.85714285714286" customWidth="1"/>
    <col min="8" max="10" width="14.8571428571429" customWidth="1"/>
    <col min="11" max="11" width="13.5714285714286" customWidth="1"/>
    <col min="12" max="12" width="13.5714285714286" style="37" customWidth="1"/>
    <col min="13" max="13" width="15.7142857142857" customWidth="1"/>
    <col min="14" max="16" width="8.85714285714286" customWidth="1"/>
  </cols>
  <sheetData>
    <row r="1" ht="88" spans="1:21">
      <c r="A1" s="19" t="s">
        <v>319</v>
      </c>
      <c r="B1" s="38" t="s">
        <v>29</v>
      </c>
      <c r="C1" s="38" t="s">
        <v>30</v>
      </c>
      <c r="D1" s="38" t="s">
        <v>31</v>
      </c>
      <c r="E1" s="39" t="s">
        <v>34</v>
      </c>
      <c r="F1" s="39" t="s">
        <v>35</v>
      </c>
      <c r="G1" s="39" t="s">
        <v>36</v>
      </c>
      <c r="H1" s="40" t="s">
        <v>39</v>
      </c>
      <c r="I1" s="40" t="s">
        <v>40</v>
      </c>
      <c r="J1" s="40" t="s">
        <v>41</v>
      </c>
      <c r="K1" s="41" t="s">
        <v>206</v>
      </c>
      <c r="L1" s="42" t="s">
        <v>207</v>
      </c>
      <c r="M1" s="41" t="s">
        <v>208</v>
      </c>
      <c r="N1" s="43" t="s">
        <v>210</v>
      </c>
      <c r="O1" s="43" t="s">
        <v>211</v>
      </c>
      <c r="P1" s="43" t="s">
        <v>212</v>
      </c>
      <c r="Q1" s="19" t="s">
        <v>350</v>
      </c>
      <c r="R1" s="19" t="s">
        <v>351</v>
      </c>
      <c r="S1" s="19" t="s">
        <v>352</v>
      </c>
      <c r="U1" s="44" t="s">
        <v>331</v>
      </c>
    </row>
    <row r="2" ht="17.6" spans="1:21">
      <c r="A2" s="19"/>
      <c r="B2" s="45" t="s">
        <v>33</v>
      </c>
      <c r="C2" s="19"/>
      <c r="D2" s="19"/>
      <c r="E2" s="45" t="s">
        <v>38</v>
      </c>
      <c r="F2" s="19"/>
      <c r="G2" s="19"/>
      <c r="H2" s="19"/>
      <c r="I2" s="19"/>
      <c r="J2" s="19"/>
      <c r="K2" s="46" t="s">
        <v>353</v>
      </c>
      <c r="L2" s="47"/>
      <c r="M2" s="19"/>
      <c r="N2" s="46" t="s">
        <v>333</v>
      </c>
      <c r="O2" s="19"/>
      <c r="P2" s="19"/>
      <c r="Q2" s="19"/>
      <c r="R2" s="19"/>
      <c r="S2" s="19"/>
    </row>
    <row r="3" ht="36" spans="1:21">
      <c r="A3" s="48" t="s">
        <v>1</v>
      </c>
      <c r="B3" s="20">
        <v>56511.102</v>
      </c>
      <c r="C3" s="20">
        <v>193800.707</v>
      </c>
      <c r="D3" s="49">
        <v>250311.809</v>
      </c>
      <c r="E3" s="20">
        <v>13053.365</v>
      </c>
      <c r="F3" s="20">
        <v>158463.417</v>
      </c>
      <c r="G3" s="49">
        <v>171516.782</v>
      </c>
      <c r="H3" s="20">
        <v>5580470.652</v>
      </c>
      <c r="I3" s="20">
        <v>2068567.779</v>
      </c>
      <c r="J3" s="49">
        <v>7649038.431</v>
      </c>
      <c r="K3" s="20">
        <v>461086.162</v>
      </c>
      <c r="L3" s="50">
        <v>2277869.484</v>
      </c>
      <c r="M3" s="51">
        <v>2738955.646</v>
      </c>
      <c r="N3" s="20">
        <v>0.6</v>
      </c>
      <c r="O3" s="20">
        <v>30.928</v>
      </c>
      <c r="P3" s="51">
        <v>31.528</v>
      </c>
      <c r="Q3" s="20">
        <v>6111121.881</v>
      </c>
      <c r="R3" s="20">
        <v>4698732.315</v>
      </c>
      <c r="S3" s="20">
        <v>10809854.196</v>
      </c>
    </row>
    <row r="4" ht="36" spans="1:21">
      <c r="A4" s="20" t="s">
        <v>336</v>
      </c>
      <c r="B4" s="20">
        <v>57111.395</v>
      </c>
      <c r="C4" s="20">
        <v>205705.762</v>
      </c>
      <c r="D4" s="20">
        <v>262817.157</v>
      </c>
      <c r="E4" s="20">
        <v>12780.198</v>
      </c>
      <c r="F4" s="20">
        <v>160491.836</v>
      </c>
      <c r="G4" s="20">
        <v>173272.034</v>
      </c>
      <c r="H4" s="20">
        <v>5589675.382</v>
      </c>
      <c r="I4" s="20">
        <v>2069480.608</v>
      </c>
      <c r="J4" s="20">
        <v>7659155.99</v>
      </c>
      <c r="K4" s="20">
        <v>464027.085</v>
      </c>
      <c r="L4" s="20">
        <v>2228592.104</v>
      </c>
      <c r="M4" s="20">
        <v>2692619.189</v>
      </c>
      <c r="N4" s="20">
        <v>0.6</v>
      </c>
      <c r="O4" s="20">
        <v>30.742</v>
      </c>
      <c r="P4" s="20">
        <v>31.342</v>
      </c>
      <c r="Q4" s="20">
        <v>6123594.66</v>
      </c>
      <c r="R4" s="20">
        <v>4664301.052</v>
      </c>
      <c r="S4" s="20">
        <v>10787895.712</v>
      </c>
    </row>
    <row r="5" ht="36" spans="1:21">
      <c r="A5" s="20" t="s">
        <v>337</v>
      </c>
      <c r="B5" s="20">
        <v>57013.091</v>
      </c>
      <c r="C5" s="20">
        <v>186630.306</v>
      </c>
      <c r="D5" s="20">
        <v>243643.397</v>
      </c>
      <c r="E5" s="20">
        <v>12466.324</v>
      </c>
      <c r="F5" s="20">
        <v>158653.296</v>
      </c>
      <c r="G5" s="20">
        <v>171119.62</v>
      </c>
      <c r="H5" s="20">
        <v>5488152.224</v>
      </c>
      <c r="I5" s="20">
        <v>2078291.039</v>
      </c>
      <c r="J5" s="20">
        <v>7566443.263</v>
      </c>
      <c r="K5" s="20">
        <v>470172.592</v>
      </c>
      <c r="L5" s="20">
        <v>2194751.128</v>
      </c>
      <c r="M5" s="20">
        <v>2664923.72</v>
      </c>
      <c r="N5" s="20">
        <v>0.6</v>
      </c>
      <c r="O5" s="20">
        <v>21.615</v>
      </c>
      <c r="P5" s="20">
        <v>22.215</v>
      </c>
      <c r="Q5" s="20">
        <v>6027804.831</v>
      </c>
      <c r="R5" s="20">
        <v>4618347.384</v>
      </c>
      <c r="S5" s="20">
        <v>10646152.215</v>
      </c>
    </row>
    <row r="6" ht="36" spans="1:21">
      <c r="A6" s="20" t="s">
        <v>338</v>
      </c>
      <c r="B6" s="20">
        <v>59126.986</v>
      </c>
      <c r="C6" s="20">
        <v>173799.623</v>
      </c>
      <c r="D6" s="20">
        <v>232926.609</v>
      </c>
      <c r="E6" s="20">
        <v>11984.01</v>
      </c>
      <c r="F6" s="20">
        <v>160556.361</v>
      </c>
      <c r="G6" s="20">
        <v>172540.371</v>
      </c>
      <c r="H6" s="20">
        <v>5472828.586</v>
      </c>
      <c r="I6" s="20">
        <v>1990899.937</v>
      </c>
      <c r="J6" s="20">
        <v>7463728.523</v>
      </c>
      <c r="K6" s="20">
        <v>467276.184</v>
      </c>
      <c r="L6" s="20">
        <v>2160366.174</v>
      </c>
      <c r="M6" s="20">
        <v>2627642.358</v>
      </c>
      <c r="N6" s="20">
        <v>0.6</v>
      </c>
      <c r="O6" s="20">
        <v>19.166</v>
      </c>
      <c r="P6" s="20">
        <v>19.766</v>
      </c>
      <c r="Q6" s="20">
        <v>6011216.366</v>
      </c>
      <c r="R6" s="20">
        <v>4485641.261</v>
      </c>
      <c r="S6" s="20">
        <v>10496857.627</v>
      </c>
    </row>
    <row r="7" ht="36" spans="1:21">
      <c r="A7" s="20" t="s">
        <v>339</v>
      </c>
      <c r="B7" s="20">
        <v>59339.624</v>
      </c>
      <c r="C7" s="20">
        <v>182422.148</v>
      </c>
      <c r="D7" s="20">
        <v>241761.772</v>
      </c>
      <c r="E7" s="20">
        <v>11972.022</v>
      </c>
      <c r="F7" s="20">
        <v>167767.316</v>
      </c>
      <c r="G7" s="20">
        <v>179739.338</v>
      </c>
      <c r="H7" s="20">
        <v>5461882.463</v>
      </c>
      <c r="I7" s="20">
        <v>1978438.212</v>
      </c>
      <c r="J7" s="20">
        <v>7440320.675</v>
      </c>
      <c r="K7" s="20">
        <v>460527.646</v>
      </c>
      <c r="L7" s="20">
        <v>2117906.48</v>
      </c>
      <c r="M7" s="20">
        <v>2578434.126</v>
      </c>
      <c r="N7" s="20">
        <v>0.6</v>
      </c>
      <c r="O7" s="20">
        <v>21.564</v>
      </c>
      <c r="P7" s="20">
        <v>22.164</v>
      </c>
      <c r="Q7" s="20">
        <v>5993722.355</v>
      </c>
      <c r="R7" s="20">
        <v>4446555.72</v>
      </c>
      <c r="S7" s="20">
        <v>10440278.075</v>
      </c>
    </row>
    <row r="8" ht="36" spans="1:21">
      <c r="A8" s="20" t="s">
        <v>340</v>
      </c>
      <c r="B8" s="20">
        <v>58040.729</v>
      </c>
      <c r="C8" s="20">
        <v>172201.211</v>
      </c>
      <c r="D8" s="20">
        <v>230241.94</v>
      </c>
      <c r="E8" s="20">
        <v>13041.727</v>
      </c>
      <c r="F8" s="20">
        <v>126050.452</v>
      </c>
      <c r="G8" s="20">
        <v>139092.179</v>
      </c>
      <c r="H8" s="20">
        <v>5431952.463</v>
      </c>
      <c r="I8" s="20">
        <v>1920630.31</v>
      </c>
      <c r="J8" s="20">
        <v>7352582.773</v>
      </c>
      <c r="K8" s="20">
        <v>457349.193</v>
      </c>
      <c r="L8" s="20">
        <v>2122924.978</v>
      </c>
      <c r="M8" s="20">
        <v>2580274.171</v>
      </c>
      <c r="N8" s="20">
        <v>0.9</v>
      </c>
      <c r="O8" s="20">
        <v>97.823</v>
      </c>
      <c r="P8" s="20">
        <v>98.723</v>
      </c>
      <c r="Q8" s="20">
        <v>5960385.012</v>
      </c>
      <c r="R8" s="20">
        <v>4341904.774</v>
      </c>
      <c r="S8" s="20">
        <v>10302289.786</v>
      </c>
    </row>
    <row r="9" ht="36" spans="1:21">
      <c r="A9" s="20" t="s">
        <v>341</v>
      </c>
      <c r="B9" s="20">
        <v>58057.961</v>
      </c>
      <c r="C9" s="20">
        <v>166061.314</v>
      </c>
      <c r="D9" s="20">
        <v>224119.275</v>
      </c>
      <c r="E9" s="20">
        <v>13924.763</v>
      </c>
      <c r="F9" s="20">
        <v>121553.739</v>
      </c>
      <c r="G9" s="20">
        <v>135478.502</v>
      </c>
      <c r="H9" s="20">
        <v>5430504.176</v>
      </c>
      <c r="I9" s="20">
        <v>1898592.291</v>
      </c>
      <c r="J9" s="20">
        <v>7329096.467</v>
      </c>
      <c r="K9" s="20">
        <v>459704.009</v>
      </c>
      <c r="L9" s="20">
        <v>2096914.473</v>
      </c>
      <c r="M9" s="20">
        <v>2556618.482</v>
      </c>
      <c r="N9" s="20">
        <v>0.9</v>
      </c>
      <c r="O9" s="20">
        <v>97.851</v>
      </c>
      <c r="P9" s="20">
        <v>98.751</v>
      </c>
      <c r="Q9" s="20">
        <v>5962191.809</v>
      </c>
      <c r="R9" s="20">
        <v>4283219.668</v>
      </c>
      <c r="S9" s="20">
        <v>10245411.477</v>
      </c>
    </row>
    <row r="10" ht="36" spans="1:21">
      <c r="A10" s="20" t="s">
        <v>342</v>
      </c>
      <c r="B10" s="20">
        <v>55987.338</v>
      </c>
      <c r="C10" s="20">
        <v>186177.144</v>
      </c>
      <c r="D10" s="20">
        <v>242164.482</v>
      </c>
      <c r="E10" s="20">
        <v>14415.68</v>
      </c>
      <c r="F10" s="20">
        <v>134200.049</v>
      </c>
      <c r="G10" s="20">
        <v>148615.729</v>
      </c>
      <c r="H10" s="20">
        <v>5408698.15</v>
      </c>
      <c r="I10" s="20">
        <v>1835826.71</v>
      </c>
      <c r="J10" s="20">
        <v>7244524.86</v>
      </c>
      <c r="K10" s="20">
        <v>455370.154</v>
      </c>
      <c r="L10" s="20">
        <v>2045357.51</v>
      </c>
      <c r="M10" s="20">
        <v>2500727.664</v>
      </c>
      <c r="N10" s="20">
        <v>0.9</v>
      </c>
      <c r="O10" s="20">
        <v>108.837</v>
      </c>
      <c r="P10" s="20">
        <v>109.737</v>
      </c>
      <c r="Q10" s="20">
        <v>5934472.222</v>
      </c>
      <c r="R10" s="20">
        <v>4201670.25</v>
      </c>
      <c r="S10" s="20">
        <v>10136142.472</v>
      </c>
    </row>
    <row r="11" ht="36" spans="1:21">
      <c r="A11" s="20" t="s">
        <v>343</v>
      </c>
      <c r="B11" s="20">
        <v>58570.371</v>
      </c>
      <c r="C11" s="20">
        <v>154966.043</v>
      </c>
      <c r="D11" s="20">
        <v>213536.414</v>
      </c>
      <c r="E11" s="20">
        <v>13974.943</v>
      </c>
      <c r="F11" s="20">
        <v>116204.607</v>
      </c>
      <c r="G11" s="20">
        <v>130179.55</v>
      </c>
      <c r="H11" s="20">
        <v>5391482.45</v>
      </c>
      <c r="I11" s="20">
        <v>1811565.951</v>
      </c>
      <c r="J11" s="20">
        <v>7203048.401</v>
      </c>
      <c r="K11" s="20">
        <v>466237.076</v>
      </c>
      <c r="L11" s="20">
        <v>1989444.555</v>
      </c>
      <c r="M11" s="20">
        <v>2455681.631</v>
      </c>
      <c r="N11" s="20">
        <v>0.9</v>
      </c>
      <c r="O11" s="20">
        <v>108.88</v>
      </c>
      <c r="P11" s="20">
        <v>109.78</v>
      </c>
      <c r="Q11" s="20">
        <v>5930265.74</v>
      </c>
      <c r="R11" s="20">
        <v>4072290.036</v>
      </c>
      <c r="S11" s="20">
        <v>10002555.776</v>
      </c>
    </row>
    <row r="12" ht="36" spans="1:21">
      <c r="A12" s="20" t="s">
        <v>344</v>
      </c>
      <c r="B12" s="20">
        <v>57795.635</v>
      </c>
      <c r="C12" s="20">
        <v>153915.665</v>
      </c>
      <c r="D12" s="20">
        <v>211711.3</v>
      </c>
      <c r="E12" s="20">
        <v>14483.044</v>
      </c>
      <c r="F12" s="20">
        <v>113621.162</v>
      </c>
      <c r="G12" s="20">
        <v>128104.206</v>
      </c>
      <c r="H12" s="20">
        <v>5414751.567</v>
      </c>
      <c r="I12" s="20">
        <v>1797183.229</v>
      </c>
      <c r="J12" s="20">
        <v>7211934.796</v>
      </c>
      <c r="K12" s="20">
        <v>462621.345</v>
      </c>
      <c r="L12" s="20">
        <v>1982597.622</v>
      </c>
      <c r="M12" s="20">
        <v>2445218.967</v>
      </c>
      <c r="N12" s="20">
        <v>0.9</v>
      </c>
      <c r="O12" s="20">
        <v>97.347</v>
      </c>
      <c r="P12" s="20">
        <v>98.247</v>
      </c>
      <c r="Q12" s="20">
        <v>5949652.491</v>
      </c>
      <c r="R12" s="20">
        <v>4047415.025</v>
      </c>
      <c r="S12" s="20">
        <v>9997067.516</v>
      </c>
    </row>
    <row r="13" ht="36" spans="1:21">
      <c r="A13" s="20" t="s">
        <v>345</v>
      </c>
      <c r="B13" s="20">
        <v>61251.15</v>
      </c>
      <c r="C13" s="20">
        <v>166019.305</v>
      </c>
      <c r="D13" s="20">
        <v>227270.455</v>
      </c>
      <c r="E13" s="20">
        <v>15221.531</v>
      </c>
      <c r="F13" s="20">
        <v>131263.175</v>
      </c>
      <c r="G13" s="20">
        <v>146484.706</v>
      </c>
      <c r="H13" s="20">
        <v>5452569.993</v>
      </c>
      <c r="I13" s="20">
        <v>1790930.461</v>
      </c>
      <c r="J13" s="20">
        <v>7243500.454</v>
      </c>
      <c r="K13" s="20">
        <v>472306.647</v>
      </c>
      <c r="L13" s="20">
        <v>1978905.533</v>
      </c>
      <c r="M13" s="20">
        <v>2451212.18</v>
      </c>
      <c r="N13" s="20">
        <v>0.9</v>
      </c>
      <c r="O13" s="20">
        <v>107.393</v>
      </c>
      <c r="P13" s="20">
        <v>108.293</v>
      </c>
      <c r="Q13" s="20">
        <v>6001350.221</v>
      </c>
      <c r="R13" s="20">
        <v>4067225.867</v>
      </c>
      <c r="S13" s="20">
        <v>10068576.088</v>
      </c>
    </row>
    <row r="14" ht="36" spans="1:21">
      <c r="A14" s="20" t="s">
        <v>346</v>
      </c>
      <c r="B14" s="20">
        <v>64970.17</v>
      </c>
      <c r="C14" s="20">
        <v>148628.359</v>
      </c>
      <c r="D14" s="20">
        <v>213598.529</v>
      </c>
      <c r="E14" s="20">
        <v>15025.371</v>
      </c>
      <c r="F14" s="20">
        <v>121429.411</v>
      </c>
      <c r="G14" s="20">
        <v>136454.782</v>
      </c>
      <c r="H14" s="20">
        <v>5433198.161</v>
      </c>
      <c r="I14" s="20">
        <v>1786769.091</v>
      </c>
      <c r="J14" s="20">
        <v>7219967.252</v>
      </c>
      <c r="K14" s="20">
        <v>489457.9</v>
      </c>
      <c r="L14" s="20">
        <v>1943926.614</v>
      </c>
      <c r="M14" s="20">
        <v>2433384.514</v>
      </c>
      <c r="N14" s="20">
        <v>1.2</v>
      </c>
      <c r="O14" s="20">
        <v>110.101</v>
      </c>
      <c r="P14" s="20">
        <v>111.301</v>
      </c>
      <c r="Q14" s="20">
        <v>6002652.802</v>
      </c>
      <c r="R14" s="20">
        <v>4000863.576</v>
      </c>
      <c r="S14" s="20">
        <v>10003516.378</v>
      </c>
    </row>
    <row r="15" ht="36" spans="1:21">
      <c r="A15" s="20" t="s">
        <v>347</v>
      </c>
      <c r="B15" s="20">
        <v>65997.963</v>
      </c>
      <c r="C15" s="20">
        <v>155758.695</v>
      </c>
      <c r="D15" s="20">
        <v>221756.658</v>
      </c>
      <c r="E15" s="20">
        <v>14073.304</v>
      </c>
      <c r="F15" s="20">
        <v>124333.809</v>
      </c>
      <c r="G15" s="20">
        <v>138407.113</v>
      </c>
      <c r="H15" s="20">
        <v>5429428.707</v>
      </c>
      <c r="I15" s="20">
        <v>1787533.795</v>
      </c>
      <c r="J15" s="20">
        <v>7216962.502</v>
      </c>
      <c r="K15" s="20">
        <v>497500.836</v>
      </c>
      <c r="L15" s="20">
        <v>1966825.414</v>
      </c>
      <c r="M15" s="20">
        <v>2464326.25</v>
      </c>
      <c r="N15" s="20">
        <v>1.2</v>
      </c>
      <c r="O15" s="20">
        <v>106.704</v>
      </c>
      <c r="P15" s="20">
        <v>107.904</v>
      </c>
      <c r="Q15" s="20">
        <v>6007002.01</v>
      </c>
      <c r="R15" s="20">
        <v>4034558.417</v>
      </c>
      <c r="S15" s="20">
        <v>10041560.427</v>
      </c>
    </row>
    <row r="16" ht="36" spans="1:21">
      <c r="A16" s="20" t="s">
        <v>348</v>
      </c>
      <c r="B16" s="20">
        <v>64711.344</v>
      </c>
      <c r="C16" s="20">
        <v>159163.174</v>
      </c>
      <c r="D16" s="20">
        <v>223874.518</v>
      </c>
      <c r="E16" s="20">
        <v>13226.637</v>
      </c>
      <c r="F16" s="20">
        <v>139122.727</v>
      </c>
      <c r="G16" s="20">
        <v>152349.364</v>
      </c>
      <c r="H16" s="20">
        <v>5464932.407</v>
      </c>
      <c r="I16" s="20">
        <v>1808945.155</v>
      </c>
      <c r="J16" s="20">
        <v>7273877.562</v>
      </c>
      <c r="K16" s="20">
        <v>492831.535</v>
      </c>
      <c r="L16" s="20">
        <v>2015341.516</v>
      </c>
      <c r="M16" s="20">
        <v>2508173.051</v>
      </c>
      <c r="N16" s="20">
        <v>1.2</v>
      </c>
      <c r="O16" s="20">
        <v>105.7</v>
      </c>
      <c r="P16" s="20">
        <v>106.9</v>
      </c>
      <c r="Q16" s="20">
        <v>6035703.123</v>
      </c>
      <c r="R16" s="20">
        <v>4122678.272</v>
      </c>
      <c r="S16" s="20">
        <v>10158381.395</v>
      </c>
    </row>
    <row r="17" ht="36" spans="1:19">
      <c r="A17" s="20" t="s">
        <v>354</v>
      </c>
      <c r="B17" s="20">
        <v>61112.11</v>
      </c>
      <c r="C17" s="20">
        <v>151717.505</v>
      </c>
      <c r="D17" s="20">
        <v>212829.615</v>
      </c>
      <c r="E17" s="20">
        <v>12028.665</v>
      </c>
      <c r="F17" s="20">
        <v>132515.007</v>
      </c>
      <c r="G17" s="20">
        <v>144543.672</v>
      </c>
      <c r="H17" s="20">
        <v>5400196.119</v>
      </c>
      <c r="I17" s="20">
        <v>1826578.668</v>
      </c>
      <c r="J17" s="20">
        <v>7226774.787</v>
      </c>
      <c r="K17" s="20">
        <v>493877.12</v>
      </c>
      <c r="L17" s="20">
        <v>1969365.999</v>
      </c>
      <c r="M17" s="20">
        <v>2463243.119</v>
      </c>
      <c r="N17" s="20">
        <v>1.2</v>
      </c>
      <c r="O17" s="20">
        <v>99.848</v>
      </c>
      <c r="P17" s="20">
        <v>101.048</v>
      </c>
      <c r="Q17" s="20">
        <v>5967215.214</v>
      </c>
      <c r="R17" s="20">
        <v>4080277.027</v>
      </c>
      <c r="S17" s="20">
        <v>10047492.241</v>
      </c>
    </row>
    <row r="18" ht="36" spans="1:19">
      <c r="A18" s="20" t="s">
        <v>355</v>
      </c>
      <c r="B18" s="20">
        <v>53341.848</v>
      </c>
      <c r="C18" s="20">
        <v>159144.003</v>
      </c>
      <c r="D18" s="20">
        <v>212485.851</v>
      </c>
      <c r="E18" s="20">
        <v>10841.517</v>
      </c>
      <c r="F18" s="20">
        <v>136949.693</v>
      </c>
      <c r="G18" s="20">
        <v>147791.21</v>
      </c>
      <c r="H18" s="20">
        <v>5362300.075</v>
      </c>
      <c r="I18" s="20">
        <v>1797400.613</v>
      </c>
      <c r="J18" s="20">
        <v>7159700.688</v>
      </c>
      <c r="K18" s="20">
        <v>491687.52</v>
      </c>
      <c r="L18" s="20">
        <v>1944294.813</v>
      </c>
      <c r="M18" s="20">
        <v>2435982.333</v>
      </c>
      <c r="N18" s="20">
        <v>1.2</v>
      </c>
      <c r="O18" s="20">
        <v>98.985</v>
      </c>
      <c r="P18" s="20">
        <v>100.185</v>
      </c>
      <c r="Q18" s="20">
        <v>5918172.16</v>
      </c>
      <c r="R18" s="20">
        <v>4037888.107</v>
      </c>
      <c r="S18" s="20">
        <v>9956060.267</v>
      </c>
    </row>
    <row r="19" ht="36" spans="1:19">
      <c r="A19" s="20" t="s">
        <v>356</v>
      </c>
      <c r="B19" s="20">
        <v>56311.861</v>
      </c>
      <c r="C19" s="20">
        <v>161132.049</v>
      </c>
      <c r="D19" s="20">
        <v>217443.91</v>
      </c>
      <c r="E19" s="20">
        <v>11223.075</v>
      </c>
      <c r="F19" s="20">
        <v>134816.5</v>
      </c>
      <c r="G19" s="20">
        <v>146039.575</v>
      </c>
      <c r="H19" s="20">
        <v>5388131.148</v>
      </c>
      <c r="I19" s="20">
        <v>1776009.389</v>
      </c>
      <c r="J19" s="20">
        <v>7164140.537</v>
      </c>
      <c r="K19" s="20">
        <v>500871.585</v>
      </c>
      <c r="L19" s="20">
        <v>1942874.302</v>
      </c>
      <c r="M19" s="20">
        <v>2443745.887</v>
      </c>
      <c r="N19" s="20">
        <v>1.2</v>
      </c>
      <c r="O19" s="20">
        <v>98.411</v>
      </c>
      <c r="P19" s="20">
        <v>99.611</v>
      </c>
      <c r="Q19" s="20">
        <v>5956538.869</v>
      </c>
      <c r="R19" s="20">
        <v>4014930.651</v>
      </c>
      <c r="S19" s="20">
        <v>9971469.52</v>
      </c>
    </row>
    <row r="20" ht="36" spans="1:19">
      <c r="A20" s="20" t="s">
        <v>357</v>
      </c>
      <c r="B20" s="20">
        <v>57427.109</v>
      </c>
      <c r="C20" s="20">
        <v>154829.001</v>
      </c>
      <c r="D20" s="20">
        <v>212256.11</v>
      </c>
      <c r="E20" s="20">
        <v>10886.342</v>
      </c>
      <c r="F20" s="20">
        <v>126181.717</v>
      </c>
      <c r="G20" s="20">
        <v>137068.059</v>
      </c>
      <c r="H20" s="20">
        <v>5385638.311</v>
      </c>
      <c r="I20" s="20">
        <v>1701957.437</v>
      </c>
      <c r="J20" s="20">
        <v>7087595.748</v>
      </c>
      <c r="K20" s="20">
        <v>508751.964</v>
      </c>
      <c r="L20" s="20">
        <v>1915049.288</v>
      </c>
      <c r="M20" s="20">
        <v>2423801.252</v>
      </c>
      <c r="N20" s="20">
        <v>4.5</v>
      </c>
      <c r="O20" s="20">
        <v>98.38</v>
      </c>
      <c r="P20" s="20">
        <v>102.88</v>
      </c>
      <c r="Q20" s="20">
        <v>5962708.226</v>
      </c>
      <c r="R20" s="20">
        <v>3898115.823</v>
      </c>
      <c r="S20" s="20">
        <v>9860824.049</v>
      </c>
    </row>
    <row r="21" ht="36" spans="1:19">
      <c r="A21" s="20" t="s">
        <v>358</v>
      </c>
      <c r="B21" s="20">
        <v>59217.889</v>
      </c>
      <c r="C21" s="20">
        <v>161830.942</v>
      </c>
      <c r="D21" s="20">
        <v>221048.831</v>
      </c>
      <c r="E21" s="20">
        <v>10925.43</v>
      </c>
      <c r="F21" s="20">
        <v>118416.307</v>
      </c>
      <c r="G21" s="20">
        <v>129341.737</v>
      </c>
      <c r="H21" s="20">
        <v>5418754.377</v>
      </c>
      <c r="I21" s="20">
        <v>1682229.388</v>
      </c>
      <c r="J21" s="20">
        <v>7100983.765</v>
      </c>
      <c r="K21" s="20">
        <v>521374.687</v>
      </c>
      <c r="L21" s="20">
        <v>1911503.033</v>
      </c>
      <c r="M21" s="20">
        <v>2432877.72</v>
      </c>
      <c r="N21" s="20">
        <v>4.5</v>
      </c>
      <c r="O21" s="20">
        <v>97.946</v>
      </c>
      <c r="P21" s="20">
        <v>102.446</v>
      </c>
      <c r="Q21" s="20">
        <v>6010276.883</v>
      </c>
      <c r="R21" s="20">
        <v>3874077.616</v>
      </c>
      <c r="S21" s="20">
        <v>9884354.499</v>
      </c>
    </row>
    <row r="22" ht="36" spans="1:19">
      <c r="A22" s="20" t="s">
        <v>8</v>
      </c>
      <c r="B22" s="20">
        <v>60444.762</v>
      </c>
      <c r="C22" s="20">
        <v>171303.015</v>
      </c>
      <c r="D22" s="20">
        <v>231747.777</v>
      </c>
      <c r="E22" s="20">
        <v>10821.36</v>
      </c>
      <c r="F22" s="20">
        <v>138673.731</v>
      </c>
      <c r="G22" s="20">
        <v>149495.091</v>
      </c>
      <c r="H22" s="20">
        <v>5442170.081</v>
      </c>
      <c r="I22" s="20">
        <v>1666569.257</v>
      </c>
      <c r="J22" s="20">
        <v>7108739.338</v>
      </c>
      <c r="K22" s="20">
        <v>532944.804</v>
      </c>
      <c r="L22" s="20">
        <v>1884775.988</v>
      </c>
      <c r="M22" s="20">
        <v>2417720.792</v>
      </c>
      <c r="N22" s="20">
        <v>1.5</v>
      </c>
      <c r="O22" s="20">
        <v>103.484</v>
      </c>
      <c r="P22" s="20">
        <v>104.984</v>
      </c>
      <c r="Q22" s="20">
        <v>6046382.507</v>
      </c>
      <c r="R22" s="20">
        <v>3861425.475</v>
      </c>
      <c r="S22" s="20">
        <v>9907807.982</v>
      </c>
    </row>
    <row r="23" ht="36" spans="1:19">
      <c r="A23" s="20" t="s">
        <v>359</v>
      </c>
      <c r="B23" s="20">
        <v>58225.174</v>
      </c>
      <c r="C23" s="20">
        <v>167502.226</v>
      </c>
      <c r="D23" s="20">
        <v>225727.4</v>
      </c>
      <c r="E23" s="20">
        <v>10975.627</v>
      </c>
      <c r="F23" s="20">
        <v>117258.527</v>
      </c>
      <c r="G23" s="20">
        <v>128234.154</v>
      </c>
      <c r="H23" s="20">
        <v>5414209.219</v>
      </c>
      <c r="I23" s="20">
        <v>1662224.558</v>
      </c>
      <c r="J23" s="20">
        <v>7076433.777</v>
      </c>
      <c r="K23" s="20">
        <v>577615.895</v>
      </c>
      <c r="L23" s="20">
        <v>1873317.457</v>
      </c>
      <c r="M23" s="20">
        <v>2450933.352</v>
      </c>
      <c r="N23" s="20">
        <v>1.5</v>
      </c>
      <c r="O23" s="20">
        <v>97.867</v>
      </c>
      <c r="P23" s="20">
        <v>99.367</v>
      </c>
      <c r="Q23" s="20">
        <v>6061027.415</v>
      </c>
      <c r="R23" s="20">
        <v>3820400.635</v>
      </c>
      <c r="S23" s="20">
        <v>9881428.05</v>
      </c>
    </row>
    <row r="24" ht="36" spans="1:19">
      <c r="A24" s="20" t="s">
        <v>360</v>
      </c>
      <c r="B24" s="20">
        <v>53125.466</v>
      </c>
      <c r="C24" s="20">
        <v>168650.103</v>
      </c>
      <c r="D24" s="20">
        <v>221775.569</v>
      </c>
      <c r="E24" s="20">
        <v>11953.223</v>
      </c>
      <c r="F24" s="20">
        <v>118580.685</v>
      </c>
      <c r="G24" s="20">
        <v>130533.908</v>
      </c>
      <c r="H24" s="20">
        <v>5419523.646</v>
      </c>
      <c r="I24" s="20">
        <v>1649033.007</v>
      </c>
      <c r="J24" s="20">
        <v>7068556.653</v>
      </c>
      <c r="K24" s="20">
        <v>588466.55</v>
      </c>
      <c r="L24" s="20">
        <v>1859775.051</v>
      </c>
      <c r="M24" s="20">
        <v>2448241.601</v>
      </c>
      <c r="N24" s="20">
        <v>3.5</v>
      </c>
      <c r="O24" s="20">
        <v>97.414</v>
      </c>
      <c r="P24" s="20">
        <v>100.914</v>
      </c>
      <c r="Q24" s="20">
        <v>6073072.385</v>
      </c>
      <c r="R24" s="20">
        <v>3796136.26</v>
      </c>
      <c r="S24" s="20">
        <v>9869208.645</v>
      </c>
    </row>
    <row r="25" ht="36" spans="1:19">
      <c r="A25" s="20" t="s">
        <v>361</v>
      </c>
      <c r="B25" s="20">
        <v>54183.494</v>
      </c>
      <c r="C25" s="20">
        <v>178170.497</v>
      </c>
      <c r="D25" s="20">
        <v>232353.991</v>
      </c>
      <c r="E25" s="20">
        <v>11487.851</v>
      </c>
      <c r="F25" s="20">
        <v>135016.875</v>
      </c>
      <c r="G25" s="20">
        <v>146504.726</v>
      </c>
      <c r="H25" s="20">
        <v>5448196.752</v>
      </c>
      <c r="I25" s="20">
        <v>1673402.815</v>
      </c>
      <c r="J25" s="20">
        <v>7121599.567</v>
      </c>
      <c r="K25" s="20">
        <v>606350.242</v>
      </c>
      <c r="L25" s="20">
        <v>1869128.905</v>
      </c>
      <c r="M25" s="20">
        <v>2475479.147</v>
      </c>
      <c r="N25" s="20">
        <v>1.5</v>
      </c>
      <c r="O25" s="20">
        <v>101.023</v>
      </c>
      <c r="P25" s="20">
        <v>102.523</v>
      </c>
      <c r="Q25" s="20">
        <v>6120219.839</v>
      </c>
      <c r="R25" s="20">
        <v>3855820.115</v>
      </c>
      <c r="S25" s="20">
        <v>9976039.954</v>
      </c>
    </row>
    <row r="26" ht="36" spans="1:19">
      <c r="A26" s="20" t="s">
        <v>362</v>
      </c>
      <c r="B26" s="20">
        <v>54820.921</v>
      </c>
      <c r="C26" s="20">
        <v>162403.391</v>
      </c>
      <c r="D26" s="20">
        <v>217224.312</v>
      </c>
      <c r="E26" s="20">
        <v>10827.844</v>
      </c>
      <c r="F26" s="20">
        <v>129784.538</v>
      </c>
      <c r="G26" s="20">
        <v>140612.382</v>
      </c>
      <c r="H26" s="20">
        <v>5451976.737</v>
      </c>
      <c r="I26" s="20">
        <v>1655548.19</v>
      </c>
      <c r="J26" s="20">
        <v>7107524.927</v>
      </c>
      <c r="K26" s="20">
        <v>620918.515</v>
      </c>
      <c r="L26" s="20">
        <v>1835334.62</v>
      </c>
      <c r="M26" s="20">
        <v>2456253.135</v>
      </c>
      <c r="N26" s="20">
        <v>1.5</v>
      </c>
      <c r="O26" s="20">
        <v>94.508</v>
      </c>
      <c r="P26" s="20">
        <v>96.008</v>
      </c>
      <c r="Q26" s="20">
        <v>6138545.517</v>
      </c>
      <c r="R26" s="20">
        <v>3783165.247</v>
      </c>
      <c r="S26" s="20">
        <v>9921710.764</v>
      </c>
    </row>
    <row r="27" ht="36" spans="1:19">
      <c r="A27" s="20" t="s">
        <v>363</v>
      </c>
      <c r="B27" s="20">
        <v>55729.204</v>
      </c>
      <c r="C27" s="20">
        <v>163394.912</v>
      </c>
      <c r="D27" s="20">
        <v>219124.116</v>
      </c>
      <c r="E27" s="20">
        <v>10952.601</v>
      </c>
      <c r="F27" s="20">
        <v>126369.627</v>
      </c>
      <c r="G27" s="20">
        <v>137322.228</v>
      </c>
      <c r="H27" s="20">
        <v>5475539.186</v>
      </c>
      <c r="I27" s="20">
        <v>1621197.327</v>
      </c>
      <c r="J27" s="20">
        <v>7096736.513</v>
      </c>
      <c r="K27" s="20">
        <v>640227.928</v>
      </c>
      <c r="L27" s="20">
        <v>1802166.513</v>
      </c>
      <c r="M27" s="20">
        <v>2442394.441</v>
      </c>
      <c r="N27" s="20">
        <v>1.5</v>
      </c>
      <c r="O27" s="20">
        <v>93.418</v>
      </c>
      <c r="P27" s="20">
        <v>94.918</v>
      </c>
      <c r="Q27" s="20">
        <v>6182450.419</v>
      </c>
      <c r="R27" s="20">
        <v>3713221.797</v>
      </c>
      <c r="S27" s="20">
        <v>9895672.216</v>
      </c>
    </row>
    <row r="28" ht="36" spans="1:19">
      <c r="A28" s="20" t="s">
        <v>364</v>
      </c>
      <c r="B28" s="20">
        <v>58432.998</v>
      </c>
      <c r="C28" s="20">
        <v>166430.846</v>
      </c>
      <c r="D28" s="20">
        <v>224863.844</v>
      </c>
      <c r="E28" s="20">
        <v>10905.167</v>
      </c>
      <c r="F28" s="20">
        <v>148838.623</v>
      </c>
      <c r="G28" s="20">
        <v>159743.79</v>
      </c>
      <c r="H28" s="20">
        <v>5555135.204</v>
      </c>
      <c r="I28" s="20">
        <v>1621749.562</v>
      </c>
      <c r="J28" s="20">
        <v>7176884.766</v>
      </c>
      <c r="K28" s="20">
        <v>641747.747</v>
      </c>
      <c r="L28" s="20">
        <v>1792824.083</v>
      </c>
      <c r="M28" s="20">
        <v>2434571.83</v>
      </c>
      <c r="N28" s="20">
        <v>1.5</v>
      </c>
      <c r="O28" s="20">
        <v>95.861</v>
      </c>
      <c r="P28" s="20">
        <v>97.361</v>
      </c>
      <c r="Q28" s="20">
        <v>6266222.616</v>
      </c>
      <c r="R28" s="20">
        <v>3729938.975</v>
      </c>
      <c r="S28" s="20">
        <v>9996161.591</v>
      </c>
    </row>
    <row r="29" ht="36" spans="1:19">
      <c r="A29" s="20" t="s">
        <v>365</v>
      </c>
      <c r="B29" s="20">
        <v>53304.318</v>
      </c>
      <c r="C29" s="20">
        <v>162578.631</v>
      </c>
      <c r="D29" s="20">
        <v>215882.949</v>
      </c>
      <c r="E29" s="20">
        <v>10081.311</v>
      </c>
      <c r="F29" s="20">
        <v>137214.776</v>
      </c>
      <c r="G29" s="20">
        <v>147296.087</v>
      </c>
      <c r="H29" s="20">
        <v>5535578.567</v>
      </c>
      <c r="I29" s="20">
        <v>1570883.689</v>
      </c>
      <c r="J29" s="20">
        <v>7106462.256</v>
      </c>
      <c r="K29" s="20">
        <v>661839.038</v>
      </c>
      <c r="L29" s="20">
        <v>1815819.693</v>
      </c>
      <c r="M29" s="20">
        <v>2477658.731</v>
      </c>
      <c r="N29" s="20">
        <v>0.75</v>
      </c>
      <c r="O29" s="20">
        <v>93.17</v>
      </c>
      <c r="P29" s="20">
        <v>93.92</v>
      </c>
      <c r="Q29" s="20">
        <v>6260803.984</v>
      </c>
      <c r="R29" s="20">
        <v>3686589.959</v>
      </c>
      <c r="S29" s="20">
        <v>9947393.943</v>
      </c>
    </row>
    <row r="30" ht="36" spans="1:19">
      <c r="A30" s="20" t="s">
        <v>366</v>
      </c>
      <c r="B30" s="20">
        <v>50488.022</v>
      </c>
      <c r="C30" s="20">
        <v>159151.519</v>
      </c>
      <c r="D30" s="20">
        <v>209639.541</v>
      </c>
      <c r="E30" s="20">
        <v>10029.671</v>
      </c>
      <c r="F30" s="20">
        <v>138045.889</v>
      </c>
      <c r="G30" s="20">
        <v>148075.56</v>
      </c>
      <c r="H30" s="20">
        <v>5570534.263</v>
      </c>
      <c r="I30" s="20">
        <v>1562593.271</v>
      </c>
      <c r="J30" s="20">
        <v>7133127.534</v>
      </c>
      <c r="K30" s="20">
        <v>671225.147</v>
      </c>
      <c r="L30" s="20">
        <v>1824081.698</v>
      </c>
      <c r="M30" s="20">
        <v>2495306.845</v>
      </c>
      <c r="N30" s="20">
        <v>0.75</v>
      </c>
      <c r="O30" s="20">
        <v>93.269</v>
      </c>
      <c r="P30" s="20">
        <v>94.019</v>
      </c>
      <c r="Q30" s="20">
        <v>6302277.853</v>
      </c>
      <c r="R30" s="20">
        <v>3683965.646</v>
      </c>
      <c r="S30" s="20">
        <v>9986243.499</v>
      </c>
    </row>
    <row r="31" ht="36" spans="1:19">
      <c r="A31" s="20" t="s">
        <v>367</v>
      </c>
      <c r="B31" s="20">
        <v>50032.608</v>
      </c>
      <c r="C31" s="20">
        <v>158729.043</v>
      </c>
      <c r="D31" s="20">
        <v>208761.651</v>
      </c>
      <c r="E31" s="20">
        <v>9955.31</v>
      </c>
      <c r="F31" s="20">
        <v>144030.267</v>
      </c>
      <c r="G31" s="20">
        <v>153985.577</v>
      </c>
      <c r="H31" s="20">
        <v>5599512.918</v>
      </c>
      <c r="I31" s="20">
        <v>1573120.417</v>
      </c>
      <c r="J31" s="20">
        <v>7172633.335</v>
      </c>
      <c r="K31" s="20">
        <v>691942.459</v>
      </c>
      <c r="L31" s="20">
        <v>1860238.542</v>
      </c>
      <c r="M31" s="20">
        <v>2552181.001</v>
      </c>
      <c r="N31" s="20">
        <v>0.75</v>
      </c>
      <c r="O31" s="20">
        <v>93.705</v>
      </c>
      <c r="P31" s="20">
        <v>94.455</v>
      </c>
      <c r="Q31" s="20">
        <v>6351444.045</v>
      </c>
      <c r="R31" s="20">
        <v>3736211.974</v>
      </c>
      <c r="S31" s="20">
        <v>10087656.019</v>
      </c>
    </row>
    <row r="32" ht="36" spans="1:19">
      <c r="A32" s="20" t="s">
        <v>368</v>
      </c>
      <c r="B32" s="20">
        <v>49507.756</v>
      </c>
      <c r="C32" s="20">
        <v>145318.711</v>
      </c>
      <c r="D32" s="20">
        <v>194826.467</v>
      </c>
      <c r="E32" s="20">
        <v>10106.391</v>
      </c>
      <c r="F32" s="20">
        <v>136678.006</v>
      </c>
      <c r="G32" s="20">
        <v>146784.397</v>
      </c>
      <c r="H32" s="20">
        <v>5587884.489</v>
      </c>
      <c r="I32" s="20">
        <v>1543580.438</v>
      </c>
      <c r="J32" s="20">
        <v>7131464.927</v>
      </c>
      <c r="K32" s="20">
        <v>700974.474</v>
      </c>
      <c r="L32" s="20">
        <v>1834964.367</v>
      </c>
      <c r="M32" s="20">
        <v>2535938.841</v>
      </c>
      <c r="N32" s="20">
        <v>1.4</v>
      </c>
      <c r="O32" s="20">
        <v>93.75</v>
      </c>
      <c r="P32" s="20">
        <v>95.15</v>
      </c>
      <c r="Q32" s="20">
        <v>6348474.51</v>
      </c>
      <c r="R32" s="20">
        <v>3660635.272</v>
      </c>
      <c r="S32" s="20">
        <v>10009109.782</v>
      </c>
    </row>
    <row r="33" ht="36" spans="1:19">
      <c r="A33" s="20" t="s">
        <v>369</v>
      </c>
      <c r="B33" s="20">
        <v>52179.225</v>
      </c>
      <c r="C33" s="20">
        <v>148054.782</v>
      </c>
      <c r="D33" s="20">
        <v>200234.007</v>
      </c>
      <c r="E33" s="20">
        <v>10016.579</v>
      </c>
      <c r="F33" s="20">
        <v>136700.011</v>
      </c>
      <c r="G33" s="20">
        <v>146716.59</v>
      </c>
      <c r="H33" s="20">
        <v>5624560.184</v>
      </c>
      <c r="I33" s="20">
        <v>1573422.915</v>
      </c>
      <c r="J33" s="20">
        <v>7197983.099</v>
      </c>
      <c r="K33" s="20">
        <v>713311.226</v>
      </c>
      <c r="L33" s="20">
        <v>1853143.113</v>
      </c>
      <c r="M33" s="20">
        <v>2566454.339</v>
      </c>
      <c r="N33" s="20">
        <v>1.4</v>
      </c>
      <c r="O33" s="20">
        <v>93.876</v>
      </c>
      <c r="P33" s="20">
        <v>95.276</v>
      </c>
      <c r="Q33" s="20">
        <v>6400068.614</v>
      </c>
      <c r="R33" s="20">
        <v>3711414.697</v>
      </c>
      <c r="S33" s="20">
        <v>10111483.311</v>
      </c>
    </row>
    <row r="34" ht="36" spans="1:19">
      <c r="A34" s="20" t="s">
        <v>9</v>
      </c>
      <c r="B34" s="20">
        <v>55411.698</v>
      </c>
      <c r="C34" s="20">
        <v>149701.379</v>
      </c>
      <c r="D34" s="20">
        <v>205113.077</v>
      </c>
      <c r="E34" s="20">
        <v>10577.562</v>
      </c>
      <c r="F34" s="20">
        <v>148935.23</v>
      </c>
      <c r="G34" s="20">
        <v>159512.792</v>
      </c>
      <c r="H34" s="20">
        <v>5636493.202</v>
      </c>
      <c r="I34" s="20">
        <v>1626831.815</v>
      </c>
      <c r="J34" s="20">
        <v>7263325.017</v>
      </c>
      <c r="K34" s="20">
        <v>718313.295</v>
      </c>
      <c r="L34" s="20">
        <v>1844955.529</v>
      </c>
      <c r="M34" s="20">
        <v>2563268.824</v>
      </c>
      <c r="N34" s="20">
        <v>1.4</v>
      </c>
      <c r="O34" s="20">
        <v>94.331</v>
      </c>
      <c r="P34" s="20">
        <v>95.731</v>
      </c>
      <c r="Q34" s="20">
        <v>6420797.157</v>
      </c>
      <c r="R34" s="20">
        <v>3770518.284</v>
      </c>
      <c r="S34" s="20">
        <v>10191315.441</v>
      </c>
    </row>
    <row r="35" ht="36" spans="1:19">
      <c r="A35" s="20" t="s">
        <v>370</v>
      </c>
      <c r="B35" s="20">
        <v>55308.959</v>
      </c>
      <c r="C35" s="20">
        <v>154583.687</v>
      </c>
      <c r="D35" s="20">
        <v>209892.646</v>
      </c>
      <c r="E35" s="20">
        <v>10718.634</v>
      </c>
      <c r="F35" s="20">
        <v>135149.251</v>
      </c>
      <c r="G35" s="20">
        <v>145867.885</v>
      </c>
      <c r="H35" s="20">
        <v>5665291.331</v>
      </c>
      <c r="I35" s="20">
        <v>1586497.402</v>
      </c>
      <c r="J35" s="20">
        <v>7251788.733</v>
      </c>
      <c r="K35" s="20">
        <v>757954.725</v>
      </c>
      <c r="L35" s="20">
        <v>1828163.372</v>
      </c>
      <c r="M35" s="20">
        <v>2586118.097</v>
      </c>
      <c r="N35" s="20">
        <v>1</v>
      </c>
      <c r="O35" s="20">
        <v>93.788</v>
      </c>
      <c r="P35" s="20">
        <v>94.788</v>
      </c>
      <c r="Q35" s="20">
        <v>6489274.649</v>
      </c>
      <c r="R35" s="20">
        <v>3704487.5</v>
      </c>
      <c r="S35" s="20">
        <v>10193762.149</v>
      </c>
    </row>
    <row r="36" ht="36" spans="1:19">
      <c r="A36" s="20" t="s">
        <v>371</v>
      </c>
      <c r="B36" s="20">
        <v>53861.015</v>
      </c>
      <c r="C36" s="20">
        <v>164674.777</v>
      </c>
      <c r="D36" s="20">
        <v>218535.792</v>
      </c>
      <c r="E36" s="20">
        <v>10955.049</v>
      </c>
      <c r="F36" s="20">
        <v>155934.093</v>
      </c>
      <c r="G36" s="20">
        <v>166889.142</v>
      </c>
      <c r="H36" s="20">
        <v>5664395.162</v>
      </c>
      <c r="I36" s="20">
        <v>1566775.886</v>
      </c>
      <c r="J36" s="20">
        <v>7231171.048</v>
      </c>
      <c r="K36" s="20">
        <v>781858.313</v>
      </c>
      <c r="L36" s="20">
        <v>1842558.522</v>
      </c>
      <c r="M36" s="20">
        <v>2624416.835</v>
      </c>
      <c r="N36" s="20">
        <v>1.5</v>
      </c>
      <c r="O36" s="20">
        <v>93.766</v>
      </c>
      <c r="P36" s="20">
        <v>95.266</v>
      </c>
      <c r="Q36" s="20">
        <v>6511071.039</v>
      </c>
      <c r="R36" s="20">
        <v>3730037.044</v>
      </c>
      <c r="S36" s="20">
        <v>10241108.083</v>
      </c>
    </row>
    <row r="37" ht="36" spans="1:19">
      <c r="A37" s="20" t="s">
        <v>372</v>
      </c>
      <c r="B37" s="20">
        <v>54532.973</v>
      </c>
      <c r="C37" s="20">
        <v>162500.037</v>
      </c>
      <c r="D37" s="20">
        <v>217033.01</v>
      </c>
      <c r="E37" s="20">
        <v>11158.058</v>
      </c>
      <c r="F37" s="20">
        <v>165818.557</v>
      </c>
      <c r="G37" s="20">
        <v>176976.615</v>
      </c>
      <c r="H37" s="20">
        <v>5681446.689</v>
      </c>
      <c r="I37" s="20">
        <v>1560970.86</v>
      </c>
      <c r="J37" s="20">
        <v>7242417.549</v>
      </c>
      <c r="K37" s="20">
        <v>798959.373</v>
      </c>
      <c r="L37" s="20">
        <v>1856658.46</v>
      </c>
      <c r="M37" s="20">
        <v>2655617.833</v>
      </c>
      <c r="N37" s="20">
        <v>4.5</v>
      </c>
      <c r="O37" s="20">
        <v>94.221</v>
      </c>
      <c r="P37" s="20">
        <v>98.721</v>
      </c>
      <c r="Q37" s="20">
        <v>6546101.593</v>
      </c>
      <c r="R37" s="20">
        <v>3746042.135</v>
      </c>
      <c r="S37" s="20">
        <v>10292143.728</v>
      </c>
    </row>
    <row r="38" ht="36" spans="1:19">
      <c r="A38" s="20" t="s">
        <v>373</v>
      </c>
      <c r="B38" s="20">
        <v>57791.827</v>
      </c>
      <c r="C38" s="20">
        <v>156577.057</v>
      </c>
      <c r="D38" s="20">
        <v>214368.884</v>
      </c>
      <c r="E38" s="20">
        <v>12033.163</v>
      </c>
      <c r="F38" s="20">
        <v>152544.742</v>
      </c>
      <c r="G38" s="20">
        <v>164577.905</v>
      </c>
      <c r="H38" s="20">
        <v>5725090.364</v>
      </c>
      <c r="I38" s="20">
        <v>1578783.348</v>
      </c>
      <c r="J38" s="20">
        <v>7303873.712</v>
      </c>
      <c r="K38" s="20">
        <v>829720.628</v>
      </c>
      <c r="L38" s="20">
        <v>1874440.16</v>
      </c>
      <c r="M38" s="20">
        <v>2704160.788</v>
      </c>
      <c r="N38" s="20">
        <v>8.5</v>
      </c>
      <c r="O38" s="20">
        <v>94.724</v>
      </c>
      <c r="P38" s="20">
        <v>103.224</v>
      </c>
      <c r="Q38" s="20">
        <v>6624644.482</v>
      </c>
      <c r="R38" s="20">
        <v>3762440.031</v>
      </c>
      <c r="S38" s="20">
        <v>10387084.513</v>
      </c>
    </row>
    <row r="39" ht="36" spans="1:19">
      <c r="A39" s="20" t="s">
        <v>374</v>
      </c>
      <c r="B39" s="20">
        <v>61172.964</v>
      </c>
      <c r="C39" s="20">
        <v>155542.653</v>
      </c>
      <c r="D39" s="20">
        <v>216715.617</v>
      </c>
      <c r="E39" s="20">
        <v>12635.743</v>
      </c>
      <c r="F39" s="20">
        <v>165856.704</v>
      </c>
      <c r="G39" s="20">
        <v>178492.447</v>
      </c>
      <c r="H39" s="20">
        <v>5735100.524</v>
      </c>
      <c r="I39" s="20">
        <v>1568722.583</v>
      </c>
      <c r="J39" s="20">
        <v>7303823.107</v>
      </c>
      <c r="K39" s="20">
        <v>840744.408</v>
      </c>
      <c r="L39" s="20">
        <v>1876719.698</v>
      </c>
      <c r="M39" s="20">
        <v>2717464.106</v>
      </c>
      <c r="N39" s="20">
        <v>8.5</v>
      </c>
      <c r="O39" s="20">
        <v>94.617</v>
      </c>
      <c r="P39" s="20">
        <v>103.117</v>
      </c>
      <c r="Q39" s="20">
        <v>6649662.139</v>
      </c>
      <c r="R39" s="20">
        <v>3766936.255</v>
      </c>
      <c r="S39" s="20">
        <v>10416598.394</v>
      </c>
    </row>
    <row r="40" ht="36" spans="1:19">
      <c r="A40" s="20" t="s">
        <v>375</v>
      </c>
      <c r="B40" s="20">
        <v>64502.142</v>
      </c>
      <c r="C40" s="20">
        <v>157052.047</v>
      </c>
      <c r="D40" s="20">
        <v>221554.189</v>
      </c>
      <c r="E40" s="20">
        <v>12758.153</v>
      </c>
      <c r="F40" s="20">
        <v>171539.913</v>
      </c>
      <c r="G40" s="20">
        <v>184298.066</v>
      </c>
      <c r="H40" s="20">
        <v>5802730.557</v>
      </c>
      <c r="I40" s="20">
        <v>1578865.062</v>
      </c>
      <c r="J40" s="20">
        <v>7381595.619</v>
      </c>
      <c r="K40" s="20">
        <v>859945.171</v>
      </c>
      <c r="L40" s="20">
        <v>1873060.227</v>
      </c>
      <c r="M40" s="20">
        <v>2733005.398</v>
      </c>
      <c r="N40" s="20">
        <v>10</v>
      </c>
      <c r="O40" s="20">
        <v>94.332</v>
      </c>
      <c r="P40" s="20">
        <v>104.332</v>
      </c>
      <c r="Q40" s="20">
        <v>6739946.023</v>
      </c>
      <c r="R40" s="20">
        <v>3780611.581</v>
      </c>
      <c r="S40" s="20">
        <v>10520557.604</v>
      </c>
    </row>
    <row r="41" ht="36" spans="1:19">
      <c r="A41" s="20" t="s">
        <v>376</v>
      </c>
      <c r="B41" s="20">
        <v>60430.93</v>
      </c>
      <c r="C41" s="20">
        <v>154573.248</v>
      </c>
      <c r="D41" s="20">
        <v>215004.178</v>
      </c>
      <c r="E41" s="20">
        <v>13529.318</v>
      </c>
      <c r="F41" s="20">
        <v>167447.877</v>
      </c>
      <c r="G41" s="20">
        <v>180977.195</v>
      </c>
      <c r="H41" s="20">
        <v>5783898.702</v>
      </c>
      <c r="I41" s="20">
        <v>1555139.326</v>
      </c>
      <c r="J41" s="20">
        <v>7339038.028</v>
      </c>
      <c r="K41" s="20">
        <v>897161.074</v>
      </c>
      <c r="L41" s="20">
        <v>1891212.553</v>
      </c>
      <c r="M41" s="20">
        <v>2788373.627</v>
      </c>
      <c r="N41" s="20">
        <v>10</v>
      </c>
      <c r="O41" s="20">
        <v>97.152</v>
      </c>
      <c r="P41" s="20">
        <v>107.152</v>
      </c>
      <c r="Q41" s="20">
        <v>6755030.024</v>
      </c>
      <c r="R41" s="20">
        <v>3768470.156</v>
      </c>
      <c r="S41" s="20">
        <v>10523500.18</v>
      </c>
    </row>
    <row r="42" ht="36" spans="1:19">
      <c r="A42" s="20" t="s">
        <v>377</v>
      </c>
      <c r="B42" s="20">
        <v>58587.772</v>
      </c>
      <c r="C42" s="20">
        <v>155383.886</v>
      </c>
      <c r="D42" s="20">
        <v>213971.658</v>
      </c>
      <c r="E42" s="20">
        <v>16933.223</v>
      </c>
      <c r="F42" s="20">
        <v>160603.675</v>
      </c>
      <c r="G42" s="20">
        <v>177536.898</v>
      </c>
      <c r="H42" s="20">
        <v>5789732.397</v>
      </c>
      <c r="I42" s="20">
        <v>1569290.645</v>
      </c>
      <c r="J42" s="20">
        <v>7359023.042</v>
      </c>
      <c r="K42" s="20">
        <v>898375.711</v>
      </c>
      <c r="L42" s="20">
        <v>1941615.971</v>
      </c>
      <c r="M42" s="20">
        <v>2839991.682</v>
      </c>
      <c r="N42" s="20">
        <v>10</v>
      </c>
      <c r="O42" s="20">
        <v>99.438</v>
      </c>
      <c r="P42" s="20">
        <v>109.438</v>
      </c>
      <c r="Q42" s="20">
        <v>6763639.103</v>
      </c>
      <c r="R42" s="20">
        <v>3826993.615</v>
      </c>
      <c r="S42" s="20">
        <v>10590632.718</v>
      </c>
    </row>
    <row r="43" ht="36" spans="1:19">
      <c r="A43" s="20" t="s">
        <v>378</v>
      </c>
      <c r="B43" s="20">
        <v>56122.065</v>
      </c>
      <c r="C43" s="20">
        <v>159230.393</v>
      </c>
      <c r="D43" s="20">
        <v>215352.458</v>
      </c>
      <c r="E43" s="20">
        <v>14349.711</v>
      </c>
      <c r="F43" s="20">
        <v>186117.654</v>
      </c>
      <c r="G43" s="20">
        <v>200467.365</v>
      </c>
      <c r="H43" s="20">
        <v>5801424.614</v>
      </c>
      <c r="I43" s="20">
        <v>1597605.264</v>
      </c>
      <c r="J43" s="20">
        <v>7399029.878</v>
      </c>
      <c r="K43" s="20">
        <v>887161.812</v>
      </c>
      <c r="L43" s="20">
        <v>1961720.923</v>
      </c>
      <c r="M43" s="20">
        <v>2848882.735</v>
      </c>
      <c r="N43" s="20">
        <v>11.5</v>
      </c>
      <c r="O43" s="20">
        <v>99.48</v>
      </c>
      <c r="P43" s="20">
        <v>110.98</v>
      </c>
      <c r="Q43" s="20">
        <v>6759069.702</v>
      </c>
      <c r="R43" s="20">
        <v>3904773.714</v>
      </c>
      <c r="S43" s="20">
        <v>10663843.416</v>
      </c>
    </row>
    <row r="44" ht="36" spans="1:19">
      <c r="A44" s="20" t="s">
        <v>379</v>
      </c>
      <c r="B44" s="20">
        <v>54649.651</v>
      </c>
      <c r="C44" s="20">
        <v>158334.971</v>
      </c>
      <c r="D44" s="20">
        <v>212984.622</v>
      </c>
      <c r="E44" s="20">
        <v>13818.923</v>
      </c>
      <c r="F44" s="20">
        <v>178535.273</v>
      </c>
      <c r="G44" s="20">
        <v>192354.196</v>
      </c>
      <c r="H44" s="20">
        <v>5739031.137</v>
      </c>
      <c r="I44" s="20">
        <v>1628145.774</v>
      </c>
      <c r="J44" s="20">
        <v>7367176.911</v>
      </c>
      <c r="K44" s="20">
        <v>882473.948</v>
      </c>
      <c r="L44" s="20">
        <v>1984320.469</v>
      </c>
      <c r="M44" s="20">
        <v>2866794.417</v>
      </c>
      <c r="N44" s="20">
        <v>11.5</v>
      </c>
      <c r="O44" s="20">
        <v>104.347</v>
      </c>
      <c r="P44" s="20">
        <v>115.847</v>
      </c>
      <c r="Q44" s="20">
        <v>6689985.159</v>
      </c>
      <c r="R44" s="20">
        <v>3949440.834</v>
      </c>
      <c r="S44" s="20">
        <v>10639425.993</v>
      </c>
    </row>
    <row r="45" ht="36" spans="1:19">
      <c r="A45" s="20" t="s">
        <v>380</v>
      </c>
      <c r="B45" s="20">
        <v>55047.143</v>
      </c>
      <c r="C45" s="20">
        <v>180452.367</v>
      </c>
      <c r="D45" s="20">
        <v>235499.51</v>
      </c>
      <c r="E45" s="20">
        <v>12366.937</v>
      </c>
      <c r="F45" s="20">
        <v>175895.584</v>
      </c>
      <c r="G45" s="20">
        <v>188262.521</v>
      </c>
      <c r="H45" s="20">
        <v>5701183.851</v>
      </c>
      <c r="I45" s="20">
        <v>1686606.002</v>
      </c>
      <c r="J45" s="20">
        <v>7387789.853</v>
      </c>
      <c r="K45" s="20">
        <v>875577.33</v>
      </c>
      <c r="L45" s="20">
        <v>2016561.347</v>
      </c>
      <c r="M45" s="20">
        <v>2892138.677</v>
      </c>
      <c r="N45" s="20">
        <v>31.5</v>
      </c>
      <c r="O45" s="20">
        <v>341.738</v>
      </c>
      <c r="P45" s="20">
        <v>373.238</v>
      </c>
      <c r="Q45" s="20">
        <v>6644206.761</v>
      </c>
      <c r="R45" s="20">
        <v>4059857.038</v>
      </c>
      <c r="S45" s="20">
        <v>10704063.799</v>
      </c>
    </row>
    <row r="46" ht="36" spans="1:19">
      <c r="A46" s="20" t="s">
        <v>10</v>
      </c>
      <c r="B46" s="20">
        <v>58068.637</v>
      </c>
      <c r="C46" s="20">
        <v>189414.864</v>
      </c>
      <c r="D46" s="20">
        <v>247483.501</v>
      </c>
      <c r="E46" s="20">
        <v>12622.642</v>
      </c>
      <c r="F46" s="20">
        <v>159585.632</v>
      </c>
      <c r="G46" s="20">
        <v>172208.274</v>
      </c>
      <c r="H46" s="20">
        <v>5648487.72</v>
      </c>
      <c r="I46" s="20">
        <v>1642161.107</v>
      </c>
      <c r="J46" s="20">
        <v>7290648.827</v>
      </c>
      <c r="K46" s="20">
        <v>883783.402</v>
      </c>
      <c r="L46" s="20">
        <v>1976831.037</v>
      </c>
      <c r="M46" s="20">
        <v>2860614.439</v>
      </c>
      <c r="N46" s="20">
        <v>1.5</v>
      </c>
      <c r="O46" s="20">
        <v>341.204</v>
      </c>
      <c r="P46" s="20">
        <v>342.704</v>
      </c>
      <c r="Q46" s="20">
        <v>6602963.901</v>
      </c>
      <c r="R46" s="20">
        <v>3968333.844</v>
      </c>
      <c r="S46" s="20">
        <v>10571297.745</v>
      </c>
    </row>
    <row r="47" ht="36" spans="1:19">
      <c r="A47" s="20" t="s">
        <v>381</v>
      </c>
      <c r="B47" s="20">
        <v>60707.421</v>
      </c>
      <c r="C47" s="20">
        <v>200749.556</v>
      </c>
      <c r="D47" s="20">
        <v>261456.977</v>
      </c>
      <c r="E47" s="20">
        <v>13780.466</v>
      </c>
      <c r="F47" s="20">
        <v>161477.438</v>
      </c>
      <c r="G47" s="20">
        <v>175257.904</v>
      </c>
      <c r="H47" s="20">
        <v>5625685.399</v>
      </c>
      <c r="I47" s="20">
        <v>1675411.032</v>
      </c>
      <c r="J47" s="20">
        <v>7301096.431</v>
      </c>
      <c r="K47" s="20">
        <v>911273.313</v>
      </c>
      <c r="L47" s="20">
        <v>2002720.262</v>
      </c>
      <c r="M47" s="20">
        <v>2913993.575</v>
      </c>
      <c r="N47" s="20">
        <v>10</v>
      </c>
      <c r="O47" s="20">
        <v>337.955</v>
      </c>
      <c r="P47" s="20">
        <v>347.955</v>
      </c>
      <c r="Q47" s="20">
        <v>6611456.599</v>
      </c>
      <c r="R47" s="20">
        <v>4040696.243</v>
      </c>
      <c r="S47" s="20">
        <v>10652152.842</v>
      </c>
    </row>
    <row r="48" ht="36" spans="1:19">
      <c r="A48" s="20" t="s">
        <v>382</v>
      </c>
      <c r="B48" s="20">
        <v>59465.878</v>
      </c>
      <c r="C48" s="20">
        <v>211244.915</v>
      </c>
      <c r="D48" s="20">
        <v>270710.793</v>
      </c>
      <c r="E48" s="20">
        <v>14077.672</v>
      </c>
      <c r="F48" s="20">
        <v>163598.448</v>
      </c>
      <c r="G48" s="20">
        <v>177676.12</v>
      </c>
      <c r="H48" s="20">
        <v>5600548.583</v>
      </c>
      <c r="I48" s="20">
        <v>1681218.649</v>
      </c>
      <c r="J48" s="20">
        <v>7281767.232</v>
      </c>
      <c r="K48" s="20">
        <v>930741.03</v>
      </c>
      <c r="L48" s="20">
        <v>2028249.563</v>
      </c>
      <c r="M48" s="20">
        <v>2958990.593</v>
      </c>
      <c r="N48" s="20">
        <v>17</v>
      </c>
      <c r="O48" s="20">
        <v>347.73</v>
      </c>
      <c r="P48" s="20">
        <v>364.73</v>
      </c>
      <c r="Q48" s="20">
        <v>6604850.163</v>
      </c>
      <c r="R48" s="20">
        <v>4084659.305</v>
      </c>
      <c r="S48" s="20">
        <v>10689509.468</v>
      </c>
    </row>
    <row r="49" ht="36" spans="1:19">
      <c r="A49" s="20" t="s">
        <v>383</v>
      </c>
      <c r="B49" s="20">
        <v>61525.478</v>
      </c>
      <c r="C49" s="20">
        <v>221899.967</v>
      </c>
      <c r="D49" s="20">
        <v>283425.445</v>
      </c>
      <c r="E49" s="20">
        <v>14787.581</v>
      </c>
      <c r="F49" s="20">
        <v>189545.385</v>
      </c>
      <c r="G49" s="20">
        <v>204332.966</v>
      </c>
      <c r="H49" s="20">
        <v>5620733.004</v>
      </c>
      <c r="I49" s="20">
        <v>1700076.94</v>
      </c>
      <c r="J49" s="20">
        <v>7320809.944</v>
      </c>
      <c r="K49" s="20">
        <v>946907.617</v>
      </c>
      <c r="L49" s="20">
        <v>2065186.791</v>
      </c>
      <c r="M49" s="20">
        <v>3012094.408</v>
      </c>
      <c r="N49" s="20">
        <v>22</v>
      </c>
      <c r="O49" s="20">
        <v>349.018</v>
      </c>
      <c r="P49" s="20">
        <v>371.018</v>
      </c>
      <c r="Q49" s="20">
        <v>6643975.68</v>
      </c>
      <c r="R49" s="20">
        <v>4177058.101</v>
      </c>
      <c r="S49" s="20">
        <v>10821033.781</v>
      </c>
    </row>
    <row r="50" ht="36" spans="1:19">
      <c r="A50" s="20" t="s">
        <v>384</v>
      </c>
      <c r="B50" s="20">
        <v>62941.856</v>
      </c>
      <c r="C50" s="20">
        <v>228711.831</v>
      </c>
      <c r="D50" s="20">
        <v>291653.687</v>
      </c>
      <c r="E50" s="20">
        <v>14017.195</v>
      </c>
      <c r="F50" s="20">
        <v>192199.288</v>
      </c>
      <c r="G50" s="20">
        <v>206216.483</v>
      </c>
      <c r="H50" s="20">
        <v>5598982.775</v>
      </c>
      <c r="I50" s="20">
        <v>1718132.772</v>
      </c>
      <c r="J50" s="20">
        <v>7317115.547</v>
      </c>
      <c r="K50" s="20">
        <v>939834.686</v>
      </c>
      <c r="L50" s="20">
        <v>2117065.553</v>
      </c>
      <c r="M50" s="20">
        <v>3056900.239</v>
      </c>
      <c r="N50" s="20">
        <v>26.7</v>
      </c>
      <c r="O50" s="20">
        <v>349.169</v>
      </c>
      <c r="P50" s="20">
        <v>375.869</v>
      </c>
      <c r="Q50" s="20">
        <v>6615803.212</v>
      </c>
      <c r="R50" s="20">
        <v>4256458.613</v>
      </c>
      <c r="S50" s="20">
        <v>10872261.825</v>
      </c>
    </row>
    <row r="51" ht="36" spans="1:19">
      <c r="A51" s="20" t="s">
        <v>385</v>
      </c>
      <c r="B51" s="20">
        <v>62875.79</v>
      </c>
      <c r="C51" s="20">
        <v>228461.736</v>
      </c>
      <c r="D51" s="20">
        <v>291337.526</v>
      </c>
      <c r="E51" s="20">
        <v>12397.564</v>
      </c>
      <c r="F51" s="20">
        <v>199716.729</v>
      </c>
      <c r="G51" s="20">
        <v>212114.293</v>
      </c>
      <c r="H51" s="20">
        <v>5580738.125</v>
      </c>
      <c r="I51" s="20">
        <v>1744809.918</v>
      </c>
      <c r="J51" s="20">
        <v>7325548.043</v>
      </c>
      <c r="K51" s="20">
        <v>937296.76</v>
      </c>
      <c r="L51" s="20">
        <v>2167491.551</v>
      </c>
      <c r="M51" s="20">
        <v>3104788.311</v>
      </c>
      <c r="N51" s="20">
        <v>44.7</v>
      </c>
      <c r="O51" s="20">
        <v>350.66</v>
      </c>
      <c r="P51" s="20">
        <v>395.36</v>
      </c>
      <c r="Q51" s="20">
        <v>6593352.939</v>
      </c>
      <c r="R51" s="20">
        <v>4340830.594</v>
      </c>
      <c r="S51" s="20">
        <v>10934183.533</v>
      </c>
    </row>
    <row r="52" ht="36" spans="1:19">
      <c r="A52" s="20" t="s">
        <v>386</v>
      </c>
      <c r="B52" s="20">
        <v>62952.61</v>
      </c>
      <c r="C52" s="20">
        <v>231663.694</v>
      </c>
      <c r="D52" s="20">
        <v>294616.304</v>
      </c>
      <c r="E52" s="20">
        <v>11549.728</v>
      </c>
      <c r="F52" s="20">
        <v>218172.434</v>
      </c>
      <c r="G52" s="20">
        <v>229722.162</v>
      </c>
      <c r="H52" s="20">
        <v>5584726.886</v>
      </c>
      <c r="I52" s="20">
        <v>1765833.053</v>
      </c>
      <c r="J52" s="20">
        <v>7350559.939</v>
      </c>
      <c r="K52" s="20">
        <v>921655.903</v>
      </c>
      <c r="L52" s="20">
        <v>2184103.88</v>
      </c>
      <c r="M52" s="20">
        <v>3105759.783</v>
      </c>
      <c r="N52" s="20">
        <v>44.7</v>
      </c>
      <c r="O52" s="20">
        <v>351.799</v>
      </c>
      <c r="P52" s="20">
        <v>396.499</v>
      </c>
      <c r="Q52" s="20">
        <v>6580929.827</v>
      </c>
      <c r="R52" s="20">
        <v>4400124.86</v>
      </c>
      <c r="S52" s="20">
        <v>10981054.687</v>
      </c>
    </row>
    <row r="53" ht="36" spans="1:19">
      <c r="A53" s="20" t="s">
        <v>387</v>
      </c>
      <c r="B53" s="20">
        <v>52457.301</v>
      </c>
      <c r="C53" s="20">
        <v>244666.252</v>
      </c>
      <c r="D53" s="20">
        <v>297123.553</v>
      </c>
      <c r="E53" s="20">
        <v>10467.148</v>
      </c>
      <c r="F53" s="20">
        <v>215948.357</v>
      </c>
      <c r="G53" s="20">
        <v>226415.505</v>
      </c>
      <c r="H53" s="20">
        <v>5521085.916</v>
      </c>
      <c r="I53" s="20">
        <v>1821691.404</v>
      </c>
      <c r="J53" s="20">
        <v>7342777.32</v>
      </c>
      <c r="K53" s="20">
        <v>893310.558</v>
      </c>
      <c r="L53" s="20">
        <v>2239416.558</v>
      </c>
      <c r="M53" s="20">
        <v>3132727.116</v>
      </c>
      <c r="N53" s="20">
        <v>45.2</v>
      </c>
      <c r="O53" s="20">
        <v>351.745</v>
      </c>
      <c r="P53" s="20">
        <v>396.945</v>
      </c>
      <c r="Q53" s="20">
        <v>6477366.123</v>
      </c>
      <c r="R53" s="20">
        <v>4522074.316</v>
      </c>
      <c r="S53" s="20">
        <v>10999440.439</v>
      </c>
    </row>
    <row r="54" ht="36" spans="1:19">
      <c r="A54" s="20" t="s">
        <v>388</v>
      </c>
      <c r="B54" s="20">
        <v>51009.942</v>
      </c>
      <c r="C54" s="20">
        <v>237669.546</v>
      </c>
      <c r="D54" s="20">
        <v>288679.488</v>
      </c>
      <c r="E54" s="20">
        <v>10844.44</v>
      </c>
      <c r="F54" s="20">
        <v>218803.026</v>
      </c>
      <c r="G54" s="20">
        <v>229647.466</v>
      </c>
      <c r="H54" s="20">
        <v>5491917.826</v>
      </c>
      <c r="I54" s="20">
        <v>1809924.626</v>
      </c>
      <c r="J54" s="20">
        <v>7301842.452</v>
      </c>
      <c r="K54" s="20">
        <v>894112.578</v>
      </c>
      <c r="L54" s="20">
        <v>2234514.622</v>
      </c>
      <c r="M54" s="20">
        <v>3128627.2</v>
      </c>
      <c r="N54" s="20">
        <v>45.2</v>
      </c>
      <c r="O54" s="20">
        <v>355.912</v>
      </c>
      <c r="P54" s="20">
        <v>401.112</v>
      </c>
      <c r="Q54" s="20">
        <v>6447929.986</v>
      </c>
      <c r="R54" s="20">
        <v>4501267.732</v>
      </c>
      <c r="S54" s="20">
        <v>10949197.718</v>
      </c>
    </row>
    <row r="55" ht="36" spans="1:19">
      <c r="A55" s="20" t="s">
        <v>389</v>
      </c>
      <c r="B55" s="20">
        <v>50857.197</v>
      </c>
      <c r="C55" s="20">
        <v>249568.753</v>
      </c>
      <c r="D55" s="20">
        <v>300425.95</v>
      </c>
      <c r="E55" s="20">
        <v>10651.246</v>
      </c>
      <c r="F55" s="20">
        <v>220407.651</v>
      </c>
      <c r="G55" s="20">
        <v>231058.897</v>
      </c>
      <c r="H55" s="20">
        <v>5499975.353</v>
      </c>
      <c r="I55" s="20">
        <v>1836256.892</v>
      </c>
      <c r="J55" s="20">
        <v>7336232.245</v>
      </c>
      <c r="K55" s="20">
        <v>893036.314</v>
      </c>
      <c r="L55" s="20">
        <v>2265670.771</v>
      </c>
      <c r="M55" s="20">
        <v>3158707.085</v>
      </c>
      <c r="N55" s="20">
        <v>42.6</v>
      </c>
      <c r="O55" s="20">
        <v>354.996</v>
      </c>
      <c r="P55" s="20">
        <v>397.596</v>
      </c>
      <c r="Q55" s="20">
        <v>6454562.71</v>
      </c>
      <c r="R55" s="20">
        <v>4572259.063</v>
      </c>
      <c r="S55" s="20">
        <v>11026821.773</v>
      </c>
    </row>
    <row r="56" ht="36" spans="1:19">
      <c r="A56" s="20" t="s">
        <v>390</v>
      </c>
      <c r="B56" s="20">
        <v>53271.381</v>
      </c>
      <c r="C56" s="20">
        <v>244641.237</v>
      </c>
      <c r="D56" s="20">
        <v>297912.618</v>
      </c>
      <c r="E56" s="20">
        <v>11537.969</v>
      </c>
      <c r="F56" s="20">
        <v>203702.145</v>
      </c>
      <c r="G56" s="20">
        <v>215240.114</v>
      </c>
      <c r="H56" s="20">
        <v>5473488.95</v>
      </c>
      <c r="I56" s="20">
        <v>1798520.371</v>
      </c>
      <c r="J56" s="20">
        <v>7272009.321</v>
      </c>
      <c r="K56" s="20">
        <v>893996.794</v>
      </c>
      <c r="L56" s="20">
        <v>2316079.273</v>
      </c>
      <c r="M56" s="20">
        <v>3210076.067</v>
      </c>
      <c r="N56" s="20">
        <v>48.6</v>
      </c>
      <c r="O56" s="20">
        <v>404.935</v>
      </c>
      <c r="P56" s="20">
        <v>453.535</v>
      </c>
      <c r="Q56" s="20">
        <v>6432343.694</v>
      </c>
      <c r="R56" s="20">
        <v>4563347.961</v>
      </c>
      <c r="S56" s="20">
        <v>10995691.655</v>
      </c>
    </row>
    <row r="57" ht="36" spans="1:19">
      <c r="A57" s="20" t="s">
        <v>391</v>
      </c>
      <c r="B57" s="20">
        <v>54485.945</v>
      </c>
      <c r="C57" s="20">
        <v>240976.375</v>
      </c>
      <c r="D57" s="20">
        <v>295462.32</v>
      </c>
      <c r="E57" s="20">
        <v>12529.213</v>
      </c>
      <c r="F57" s="20">
        <v>187093.95</v>
      </c>
      <c r="G57" s="20">
        <v>199623.163</v>
      </c>
      <c r="H57" s="20">
        <v>5470564.461</v>
      </c>
      <c r="I57" s="20">
        <v>1791363.244</v>
      </c>
      <c r="J57" s="20">
        <v>7261927.705</v>
      </c>
      <c r="K57" s="20">
        <v>896884.972</v>
      </c>
      <c r="L57" s="20">
        <v>2326862.549</v>
      </c>
      <c r="M57" s="20">
        <v>3223747.521</v>
      </c>
      <c r="N57" s="20">
        <v>48.6</v>
      </c>
      <c r="O57" s="20">
        <v>404.144</v>
      </c>
      <c r="P57" s="20">
        <v>452.744</v>
      </c>
      <c r="Q57" s="20">
        <v>6434513.191</v>
      </c>
      <c r="R57" s="20">
        <v>4546700.262</v>
      </c>
      <c r="S57" s="20">
        <v>10981213.453</v>
      </c>
    </row>
    <row r="58" ht="36" spans="1:19">
      <c r="A58" s="20" t="s">
        <v>11</v>
      </c>
      <c r="B58" s="20">
        <v>55055.337</v>
      </c>
      <c r="C58" s="20">
        <v>236330.956</v>
      </c>
      <c r="D58" s="20">
        <v>291386.293</v>
      </c>
      <c r="E58" s="20">
        <v>13888.557</v>
      </c>
      <c r="F58" s="20">
        <v>179755.395</v>
      </c>
      <c r="G58" s="20">
        <v>193643.952</v>
      </c>
      <c r="H58" s="20">
        <v>5468186.189</v>
      </c>
      <c r="I58" s="20">
        <v>1759079.069</v>
      </c>
      <c r="J58" s="20">
        <v>7227265.258</v>
      </c>
      <c r="K58" s="20">
        <v>888678.052</v>
      </c>
      <c r="L58" s="20">
        <v>2291728.488</v>
      </c>
      <c r="M58" s="20">
        <v>3180406.54</v>
      </c>
      <c r="N58" s="20">
        <v>48.6</v>
      </c>
      <c r="O58" s="20">
        <v>396.627</v>
      </c>
      <c r="P58" s="20">
        <v>445.227</v>
      </c>
      <c r="Q58" s="20">
        <v>6425856.735</v>
      </c>
      <c r="R58" s="20">
        <v>4467290.535</v>
      </c>
      <c r="S58" s="20">
        <v>10893147.27</v>
      </c>
    </row>
    <row r="59" ht="36" spans="1:19">
      <c r="A59" s="20" t="s">
        <v>392</v>
      </c>
      <c r="B59" s="20">
        <v>55433.771</v>
      </c>
      <c r="C59" s="20">
        <v>255359.805</v>
      </c>
      <c r="D59" s="20">
        <v>310793.576</v>
      </c>
      <c r="E59" s="20">
        <v>14063.287</v>
      </c>
      <c r="F59" s="20">
        <v>197948.6</v>
      </c>
      <c r="G59" s="20">
        <v>212011.887</v>
      </c>
      <c r="H59" s="20">
        <v>5433017.425</v>
      </c>
      <c r="I59" s="20">
        <v>1809266.09</v>
      </c>
      <c r="J59" s="20">
        <v>7242283.515</v>
      </c>
      <c r="K59" s="20">
        <v>903452.045</v>
      </c>
      <c r="L59" s="20">
        <v>2320228.909</v>
      </c>
      <c r="M59" s="20">
        <v>3223680.954</v>
      </c>
      <c r="N59" s="20">
        <v>43.6</v>
      </c>
      <c r="O59" s="20">
        <v>400.888</v>
      </c>
      <c r="P59" s="20">
        <v>444.488</v>
      </c>
      <c r="Q59" s="20">
        <v>6406010.128</v>
      </c>
      <c r="R59" s="20">
        <v>4583204.292</v>
      </c>
      <c r="S59" s="20">
        <v>10989214.42</v>
      </c>
    </row>
    <row r="60" ht="36" spans="1:19">
      <c r="A60" s="20" t="s">
        <v>393</v>
      </c>
      <c r="B60" s="20">
        <v>55316.24</v>
      </c>
      <c r="C60" s="20">
        <v>258907.466</v>
      </c>
      <c r="D60" s="20">
        <v>314223.706</v>
      </c>
      <c r="E60" s="20">
        <v>14173.728</v>
      </c>
      <c r="F60" s="20">
        <v>216884.622</v>
      </c>
      <c r="G60" s="20">
        <v>231058.35</v>
      </c>
      <c r="H60" s="20">
        <v>5388950.322</v>
      </c>
      <c r="I60" s="20">
        <v>1827083.045</v>
      </c>
      <c r="J60" s="20">
        <v>7216033.367</v>
      </c>
      <c r="K60" s="20">
        <v>889234.54</v>
      </c>
      <c r="L60" s="20">
        <v>2340694.834</v>
      </c>
      <c r="M60" s="20">
        <v>3229929.374</v>
      </c>
      <c r="N60" s="20">
        <v>43.6</v>
      </c>
      <c r="O60" s="20">
        <v>391.282</v>
      </c>
      <c r="P60" s="20">
        <v>434.882</v>
      </c>
      <c r="Q60" s="20">
        <v>6347718.43</v>
      </c>
      <c r="R60" s="20">
        <v>4643961.249</v>
      </c>
      <c r="S60" s="20">
        <v>10991679.679</v>
      </c>
    </row>
    <row r="61" ht="36" spans="1:19">
      <c r="A61" s="20" t="s">
        <v>394</v>
      </c>
      <c r="B61" s="20">
        <v>56318.741</v>
      </c>
      <c r="C61" s="20">
        <v>258476.709</v>
      </c>
      <c r="D61" s="20">
        <v>314795.45</v>
      </c>
      <c r="E61" s="20">
        <v>14116.003</v>
      </c>
      <c r="F61" s="20">
        <v>244113.346</v>
      </c>
      <c r="G61" s="20">
        <v>258229.349</v>
      </c>
      <c r="H61" s="20">
        <v>5370704.65</v>
      </c>
      <c r="I61" s="20">
        <v>1831432.846</v>
      </c>
      <c r="J61" s="20">
        <v>7202137.496</v>
      </c>
      <c r="K61" s="20">
        <v>891249.701</v>
      </c>
      <c r="L61" s="20">
        <v>2359440.184</v>
      </c>
      <c r="M61" s="20">
        <v>3250689.885</v>
      </c>
      <c r="N61" s="20">
        <v>38.6</v>
      </c>
      <c r="O61" s="20">
        <v>318.047</v>
      </c>
      <c r="P61" s="20">
        <v>356.647</v>
      </c>
      <c r="Q61" s="20">
        <v>6332427.695</v>
      </c>
      <c r="R61" s="20">
        <v>4693781.132</v>
      </c>
      <c r="S61" s="20">
        <v>11026208.827</v>
      </c>
    </row>
    <row r="62" ht="36" spans="1:19">
      <c r="A62" s="20" t="s">
        <v>395</v>
      </c>
      <c r="B62" s="20">
        <v>55750.712</v>
      </c>
      <c r="C62" s="20">
        <v>252687.761</v>
      </c>
      <c r="D62" s="20">
        <v>308438.473</v>
      </c>
      <c r="E62" s="20">
        <v>14062.811</v>
      </c>
      <c r="F62" s="20">
        <v>245920.037</v>
      </c>
      <c r="G62" s="20">
        <v>259982.848</v>
      </c>
      <c r="H62" s="20">
        <v>5322376.135</v>
      </c>
      <c r="I62" s="20">
        <v>1853214.734</v>
      </c>
      <c r="J62" s="20">
        <v>7175590.869</v>
      </c>
      <c r="K62" s="20">
        <v>884762.929</v>
      </c>
      <c r="L62" s="20">
        <v>2354448.675</v>
      </c>
      <c r="M62" s="20">
        <v>3239211.604</v>
      </c>
      <c r="N62" s="20">
        <v>42.6</v>
      </c>
      <c r="O62" s="20">
        <v>348.072</v>
      </c>
      <c r="P62" s="20">
        <v>390.672</v>
      </c>
      <c r="Q62" s="20">
        <v>6276995.187</v>
      </c>
      <c r="R62" s="20">
        <v>4706619.279</v>
      </c>
      <c r="S62" s="20">
        <v>10983614.466</v>
      </c>
    </row>
    <row r="63" ht="36" spans="1:19">
      <c r="A63" s="20" t="s">
        <v>396</v>
      </c>
      <c r="B63" s="20">
        <v>56726.437</v>
      </c>
      <c r="C63" s="20">
        <v>240766.58</v>
      </c>
      <c r="D63" s="20">
        <v>297493.017</v>
      </c>
      <c r="E63" s="20">
        <v>15163.934</v>
      </c>
      <c r="F63" s="20">
        <v>240031.18</v>
      </c>
      <c r="G63" s="20">
        <v>255195.114</v>
      </c>
      <c r="H63" s="20">
        <v>5321591.31</v>
      </c>
      <c r="I63" s="20">
        <v>1864093.757</v>
      </c>
      <c r="J63" s="20">
        <v>7185685.067</v>
      </c>
      <c r="K63" s="20">
        <v>872637.872</v>
      </c>
      <c r="L63" s="20">
        <v>2337324.789</v>
      </c>
      <c r="M63" s="20">
        <v>3209962.661</v>
      </c>
      <c r="N63" s="20">
        <v>42.6</v>
      </c>
      <c r="O63" s="20">
        <v>388.656</v>
      </c>
      <c r="P63" s="20">
        <v>431.256</v>
      </c>
      <c r="Q63" s="20">
        <v>6266162.153</v>
      </c>
      <c r="R63" s="20">
        <v>4682604.962</v>
      </c>
      <c r="S63" s="20">
        <v>10948767.115</v>
      </c>
    </row>
    <row r="64" ht="36" spans="1:19">
      <c r="A64" s="20" t="s">
        <v>397</v>
      </c>
      <c r="B64" s="20">
        <v>57539.876</v>
      </c>
      <c r="C64" s="20">
        <v>241645.095</v>
      </c>
      <c r="D64" s="20">
        <v>299184.971</v>
      </c>
      <c r="E64" s="20">
        <v>16438.555</v>
      </c>
      <c r="F64" s="20">
        <v>227520.243</v>
      </c>
      <c r="G64" s="20">
        <v>243958.798</v>
      </c>
      <c r="H64" s="20">
        <v>5689661.078</v>
      </c>
      <c r="I64" s="20">
        <v>1834538.735</v>
      </c>
      <c r="J64" s="20">
        <v>7524199.813</v>
      </c>
      <c r="K64" s="20">
        <v>855734.713</v>
      </c>
      <c r="L64" s="20">
        <v>2326381.935</v>
      </c>
      <c r="M64" s="20">
        <v>3182116.648</v>
      </c>
      <c r="N64" s="20">
        <v>28</v>
      </c>
      <c r="O64" s="20">
        <v>325.286</v>
      </c>
      <c r="P64" s="20">
        <v>353.286</v>
      </c>
      <c r="Q64" s="20">
        <v>6619402.222</v>
      </c>
      <c r="R64" s="20">
        <v>4630411.294</v>
      </c>
      <c r="S64" s="20">
        <v>11249813.516</v>
      </c>
    </row>
    <row r="65" ht="36" spans="1:19">
      <c r="A65" s="20" t="s">
        <v>398</v>
      </c>
      <c r="B65" s="20">
        <v>53557.203</v>
      </c>
      <c r="C65" s="20">
        <v>216425.177</v>
      </c>
      <c r="D65" s="20">
        <v>269982.38</v>
      </c>
      <c r="E65" s="20">
        <v>17306.817</v>
      </c>
      <c r="F65" s="20">
        <v>207521.762</v>
      </c>
      <c r="G65" s="20">
        <v>224828.579</v>
      </c>
      <c r="H65" s="20">
        <v>5303814.405</v>
      </c>
      <c r="I65" s="20">
        <v>1818305.313</v>
      </c>
      <c r="J65" s="20">
        <v>7122119.718</v>
      </c>
      <c r="K65" s="20">
        <v>844015.817</v>
      </c>
      <c r="L65" s="20">
        <v>2350625.841</v>
      </c>
      <c r="M65" s="20">
        <v>3194641.658</v>
      </c>
      <c r="N65" s="20">
        <v>123</v>
      </c>
      <c r="O65" s="20">
        <v>307.107</v>
      </c>
      <c r="P65" s="20">
        <v>430.107</v>
      </c>
      <c r="Q65" s="20">
        <v>6218817.242</v>
      </c>
      <c r="R65" s="20">
        <v>4593185.2</v>
      </c>
      <c r="S65" s="20">
        <v>10812002.442</v>
      </c>
    </row>
    <row r="66" ht="36" spans="1:19">
      <c r="A66" s="20" t="s">
        <v>399</v>
      </c>
      <c r="B66" s="20">
        <v>52217.201</v>
      </c>
      <c r="C66" s="20">
        <v>206580.426</v>
      </c>
      <c r="D66" s="20">
        <v>258797.627</v>
      </c>
      <c r="E66" s="20">
        <v>19005.976</v>
      </c>
      <c r="F66" s="20">
        <v>196020.621</v>
      </c>
      <c r="G66" s="20">
        <v>215026.597</v>
      </c>
      <c r="H66" s="20">
        <v>5302791.623</v>
      </c>
      <c r="I66" s="20">
        <v>1822402.771</v>
      </c>
      <c r="J66" s="20">
        <v>7125194.394</v>
      </c>
      <c r="K66" s="20">
        <v>836612.784</v>
      </c>
      <c r="L66" s="20">
        <v>2332302.404</v>
      </c>
      <c r="M66" s="20">
        <v>3168915.188</v>
      </c>
      <c r="N66" s="20">
        <v>119</v>
      </c>
      <c r="O66" s="20">
        <v>315.466</v>
      </c>
      <c r="P66" s="20">
        <v>434.466</v>
      </c>
      <c r="Q66" s="20">
        <v>6210746.584</v>
      </c>
      <c r="R66" s="20">
        <v>4557621.688</v>
      </c>
      <c r="S66" s="20">
        <v>10768368.272</v>
      </c>
    </row>
    <row r="67" ht="36" spans="1:19">
      <c r="A67" s="20" t="s">
        <v>400</v>
      </c>
      <c r="B67" s="20">
        <v>52390.223</v>
      </c>
      <c r="C67" s="20">
        <v>208314.817</v>
      </c>
      <c r="D67" s="20">
        <v>260705.04</v>
      </c>
      <c r="E67" s="20">
        <v>20802.266</v>
      </c>
      <c r="F67" s="20">
        <v>179561.958</v>
      </c>
      <c r="G67" s="20">
        <v>200364.224</v>
      </c>
      <c r="H67" s="20">
        <v>5345380.719</v>
      </c>
      <c r="I67" s="20">
        <v>1811116.779</v>
      </c>
      <c r="J67" s="20">
        <v>7156497.498</v>
      </c>
      <c r="K67" s="20">
        <v>836321.134</v>
      </c>
      <c r="L67" s="20">
        <v>2335744.676</v>
      </c>
      <c r="M67" s="20">
        <v>3172065.81</v>
      </c>
      <c r="N67" s="20">
        <v>20</v>
      </c>
      <c r="O67" s="20">
        <v>316.373</v>
      </c>
      <c r="P67" s="20">
        <v>336.373</v>
      </c>
      <c r="Q67" s="20">
        <v>6254914.342</v>
      </c>
      <c r="R67" s="20">
        <v>4535054.603</v>
      </c>
      <c r="S67" s="20">
        <v>10789968.945</v>
      </c>
    </row>
    <row r="68" ht="36" spans="1:19">
      <c r="A68" s="20" t="s">
        <v>401</v>
      </c>
      <c r="B68" s="20">
        <v>54507.171</v>
      </c>
      <c r="C68" s="20">
        <v>195111.931</v>
      </c>
      <c r="D68" s="20">
        <v>249619.102</v>
      </c>
      <c r="E68" s="20">
        <v>19003.559</v>
      </c>
      <c r="F68" s="20">
        <v>173804.465</v>
      </c>
      <c r="G68" s="20">
        <v>192808.024</v>
      </c>
      <c r="H68" s="20">
        <v>5425299.14</v>
      </c>
      <c r="I68" s="20">
        <v>1795979.618</v>
      </c>
      <c r="J68" s="20">
        <v>7221278.758</v>
      </c>
      <c r="K68" s="20">
        <v>835886.738</v>
      </c>
      <c r="L68" s="20">
        <v>2331788.245</v>
      </c>
      <c r="M68" s="20">
        <v>3167674.983</v>
      </c>
      <c r="N68" s="20">
        <v>20.5</v>
      </c>
      <c r="O68" s="20">
        <v>305.622</v>
      </c>
      <c r="P68" s="20">
        <v>326.122</v>
      </c>
      <c r="Q68" s="20">
        <v>6334717.108</v>
      </c>
      <c r="R68" s="20">
        <v>4496989.881</v>
      </c>
      <c r="S68" s="20">
        <v>10831706.989</v>
      </c>
    </row>
    <row r="69" ht="36" spans="1:19">
      <c r="A69" s="20" t="s">
        <v>402</v>
      </c>
      <c r="B69" s="20">
        <v>55403.265</v>
      </c>
      <c r="C69" s="20">
        <v>189823.89</v>
      </c>
      <c r="D69" s="20">
        <v>245227.155</v>
      </c>
      <c r="E69" s="20">
        <v>19175.137</v>
      </c>
      <c r="F69" s="20">
        <v>169798.902</v>
      </c>
      <c r="G69" s="20">
        <v>188974.039</v>
      </c>
      <c r="H69" s="20">
        <v>6369449.834</v>
      </c>
      <c r="I69" s="20">
        <v>1784534.31</v>
      </c>
      <c r="J69" s="20">
        <v>8153984.144</v>
      </c>
      <c r="K69" s="20">
        <v>834436.103</v>
      </c>
      <c r="L69" s="20">
        <v>2315080.297</v>
      </c>
      <c r="M69" s="20">
        <v>3149516.4</v>
      </c>
      <c r="N69" s="20">
        <v>20.5</v>
      </c>
      <c r="O69" s="20">
        <v>307.49</v>
      </c>
      <c r="P69" s="20">
        <v>327.99</v>
      </c>
      <c r="Q69" s="20">
        <v>7278484.839</v>
      </c>
      <c r="R69" s="20">
        <v>4459544.889</v>
      </c>
      <c r="S69" s="20">
        <v>11738029.728</v>
      </c>
    </row>
    <row r="70" ht="36" spans="1:19">
      <c r="A70" s="20" t="s">
        <v>403</v>
      </c>
      <c r="B70" s="20">
        <v>55943.259</v>
      </c>
      <c r="C70" s="20">
        <v>191560.494</v>
      </c>
      <c r="D70" s="20">
        <v>247503.753</v>
      </c>
      <c r="E70" s="20">
        <v>19221.263</v>
      </c>
      <c r="F70" s="20">
        <v>158076.353</v>
      </c>
      <c r="G70" s="20">
        <v>177297.616</v>
      </c>
      <c r="H70" s="20">
        <v>5187114.761</v>
      </c>
      <c r="I70" s="20">
        <v>1744944.223</v>
      </c>
      <c r="J70" s="20">
        <v>6932058.984</v>
      </c>
      <c r="K70" s="20">
        <v>844660.277</v>
      </c>
      <c r="L70" s="20">
        <v>2296728.63</v>
      </c>
      <c r="M70" s="20">
        <v>3141388.907</v>
      </c>
      <c r="N70" s="20">
        <v>20.5</v>
      </c>
      <c r="O70" s="20">
        <v>307.681</v>
      </c>
      <c r="P70" s="20">
        <v>328.181</v>
      </c>
      <c r="Q70" s="20">
        <v>6106960.06</v>
      </c>
      <c r="R70" s="20">
        <v>4391617.381</v>
      </c>
      <c r="S70" s="20">
        <v>10498577.441</v>
      </c>
    </row>
    <row r="71" ht="36" spans="1:19">
      <c r="A71" s="20" t="s">
        <v>404</v>
      </c>
      <c r="B71" s="20">
        <v>55456.448</v>
      </c>
      <c r="C71" s="20">
        <v>194415.126</v>
      </c>
      <c r="D71" s="20">
        <v>249871.574</v>
      </c>
      <c r="E71" s="20">
        <v>20193.436</v>
      </c>
      <c r="F71" s="20">
        <v>185118.653</v>
      </c>
      <c r="G71" s="20">
        <v>205312.089</v>
      </c>
      <c r="H71" s="20">
        <v>5146724.24</v>
      </c>
      <c r="I71" s="20">
        <v>1756301.681</v>
      </c>
      <c r="J71" s="20">
        <v>6903025.921</v>
      </c>
      <c r="K71" s="20">
        <v>850421.233</v>
      </c>
      <c r="L71" s="20">
        <v>2334757.647</v>
      </c>
      <c r="M71" s="20">
        <v>3185178.88</v>
      </c>
      <c r="N71" s="20">
        <v>22.5</v>
      </c>
      <c r="O71" s="20">
        <v>312.176</v>
      </c>
      <c r="P71" s="20">
        <v>334.676</v>
      </c>
      <c r="Q71" s="20">
        <v>6072817.857</v>
      </c>
      <c r="R71" s="20">
        <v>4470905.283</v>
      </c>
      <c r="S71" s="20">
        <v>10543723.14</v>
      </c>
    </row>
    <row r="72" ht="36" spans="1:19">
      <c r="A72" s="20" t="s">
        <v>405</v>
      </c>
      <c r="B72" s="20">
        <v>57055.645</v>
      </c>
      <c r="C72" s="20">
        <v>196459.19</v>
      </c>
      <c r="D72" s="20">
        <v>253514.835</v>
      </c>
      <c r="E72" s="20">
        <v>19520.123</v>
      </c>
      <c r="F72" s="20">
        <v>185789.484</v>
      </c>
      <c r="G72" s="20">
        <v>205309.607</v>
      </c>
      <c r="H72" s="20">
        <v>6129787.043</v>
      </c>
      <c r="I72" s="20">
        <v>1745030.858</v>
      </c>
      <c r="J72" s="20">
        <v>7874817.901</v>
      </c>
      <c r="K72" s="20">
        <v>853467.913</v>
      </c>
      <c r="L72" s="20">
        <v>2358603.784</v>
      </c>
      <c r="M72" s="20">
        <v>3212071.697</v>
      </c>
      <c r="N72" s="20">
        <v>23.5</v>
      </c>
      <c r="O72" s="20">
        <v>311.877</v>
      </c>
      <c r="P72" s="20">
        <v>335.377</v>
      </c>
      <c r="Q72" s="20">
        <v>7059854.224</v>
      </c>
      <c r="R72" s="20">
        <v>4486195.193</v>
      </c>
      <c r="S72" s="20">
        <v>11546049.417</v>
      </c>
    </row>
    <row r="73" ht="36" spans="1:19">
      <c r="A73" s="20" t="s">
        <v>406</v>
      </c>
      <c r="B73" s="20">
        <v>58174.556</v>
      </c>
      <c r="C73" s="20">
        <v>199347.001</v>
      </c>
      <c r="D73" s="20">
        <v>257521.557</v>
      </c>
      <c r="E73" s="20">
        <v>20210.453</v>
      </c>
      <c r="F73" s="20">
        <v>179487.261</v>
      </c>
      <c r="G73" s="20">
        <v>199697.714</v>
      </c>
      <c r="H73" s="20">
        <v>5582269.21</v>
      </c>
      <c r="I73" s="20">
        <v>1737308.252</v>
      </c>
      <c r="J73" s="20">
        <v>7319577.462</v>
      </c>
      <c r="K73" s="20">
        <v>856426.508</v>
      </c>
      <c r="L73" s="20">
        <v>2397939.396</v>
      </c>
      <c r="M73" s="20">
        <v>3254365.904</v>
      </c>
      <c r="N73" s="20">
        <v>23.5</v>
      </c>
      <c r="O73" s="20">
        <v>313.487</v>
      </c>
      <c r="P73" s="20">
        <v>336.987</v>
      </c>
      <c r="Q73" s="20">
        <v>6517104.227</v>
      </c>
      <c r="R73" s="20">
        <v>4514395.397</v>
      </c>
      <c r="S73" s="20">
        <v>11031499.624</v>
      </c>
    </row>
    <row r="74" ht="36" spans="1:19">
      <c r="A74" s="20" t="s">
        <v>407</v>
      </c>
      <c r="B74" s="20">
        <v>58956.026</v>
      </c>
      <c r="C74" s="20">
        <v>194839.015</v>
      </c>
      <c r="D74" s="20">
        <v>253795.041</v>
      </c>
      <c r="E74" s="20">
        <v>20604.744</v>
      </c>
      <c r="F74" s="20">
        <v>189888.295</v>
      </c>
      <c r="G74" s="20">
        <v>210493.039</v>
      </c>
      <c r="H74" s="20">
        <v>5620203.479</v>
      </c>
      <c r="I74" s="20">
        <v>1777747.676</v>
      </c>
      <c r="J74" s="20">
        <v>7397951.155</v>
      </c>
      <c r="K74" s="20">
        <v>865758.27</v>
      </c>
      <c r="L74" s="20">
        <v>2396984.125</v>
      </c>
      <c r="M74" s="20">
        <v>3262742.395</v>
      </c>
      <c r="N74" s="20">
        <v>23.5</v>
      </c>
      <c r="O74" s="20">
        <v>316.284</v>
      </c>
      <c r="P74" s="20">
        <v>339.784</v>
      </c>
      <c r="Q74" s="20">
        <v>6565546.019</v>
      </c>
      <c r="R74" s="20">
        <v>4559775.395</v>
      </c>
      <c r="S74" s="20">
        <v>11125321.414</v>
      </c>
    </row>
    <row r="75" ht="36" spans="1:19">
      <c r="A75" s="20" t="s">
        <v>408</v>
      </c>
      <c r="B75" s="20">
        <v>60847.687</v>
      </c>
      <c r="C75" s="20">
        <v>195285.674</v>
      </c>
      <c r="D75" s="20">
        <v>256133.361</v>
      </c>
      <c r="E75" s="20">
        <v>19571.396</v>
      </c>
      <c r="F75" s="20">
        <v>193935.485</v>
      </c>
      <c r="G75" s="20">
        <v>213506.881</v>
      </c>
      <c r="H75" s="20">
        <v>5316746.132</v>
      </c>
      <c r="I75" s="20">
        <v>1820734.088</v>
      </c>
      <c r="J75" s="20">
        <v>7137480.22</v>
      </c>
      <c r="K75" s="20">
        <v>857550.327</v>
      </c>
      <c r="L75" s="20">
        <v>2409297.379</v>
      </c>
      <c r="M75" s="20">
        <v>3266847.706</v>
      </c>
      <c r="N75" s="20">
        <v>23.5</v>
      </c>
      <c r="O75" s="20">
        <v>318.013</v>
      </c>
      <c r="P75" s="20">
        <v>341.513</v>
      </c>
      <c r="Q75" s="20">
        <v>6254739.042</v>
      </c>
      <c r="R75" s="20">
        <v>4619570.639</v>
      </c>
      <c r="S75" s="20">
        <v>10874309.681</v>
      </c>
    </row>
    <row r="76" ht="36" spans="1:19">
      <c r="A76" s="20" t="s">
        <v>409</v>
      </c>
      <c r="B76" s="20">
        <v>61583.037</v>
      </c>
      <c r="C76" s="20">
        <v>201102.945</v>
      </c>
      <c r="D76" s="20">
        <v>262685.982</v>
      </c>
      <c r="E76" s="20">
        <v>17372.681</v>
      </c>
      <c r="F76" s="20">
        <v>194429.388</v>
      </c>
      <c r="G76" s="20">
        <v>211802.069</v>
      </c>
      <c r="H76" s="20">
        <v>5167979.819</v>
      </c>
      <c r="I76" s="20">
        <v>1784286.82</v>
      </c>
      <c r="J76" s="20">
        <v>6952266.639</v>
      </c>
      <c r="K76" s="20">
        <v>849545.308</v>
      </c>
      <c r="L76" s="20">
        <v>2416285.521</v>
      </c>
      <c r="M76" s="20">
        <v>3265830.829</v>
      </c>
      <c r="N76" s="20">
        <v>24</v>
      </c>
      <c r="O76" s="20">
        <v>84.082</v>
      </c>
      <c r="P76" s="20">
        <v>108.082</v>
      </c>
      <c r="Q76" s="20">
        <v>6096504.845</v>
      </c>
      <c r="R76" s="20">
        <v>4596188.756</v>
      </c>
      <c r="S76" s="20">
        <v>10692693.601</v>
      </c>
    </row>
    <row r="77" ht="36" spans="1:19">
      <c r="A77" s="20" t="s">
        <v>410</v>
      </c>
      <c r="B77" s="20">
        <v>63970.279</v>
      </c>
      <c r="C77" s="20">
        <v>199994.481</v>
      </c>
      <c r="D77" s="20">
        <v>263964.76</v>
      </c>
      <c r="E77" s="20">
        <v>17846.072</v>
      </c>
      <c r="F77" s="20">
        <v>198603.483</v>
      </c>
      <c r="G77" s="20">
        <v>216449.555</v>
      </c>
      <c r="H77" s="20">
        <v>5179108.749</v>
      </c>
      <c r="I77" s="20">
        <v>1802994.81</v>
      </c>
      <c r="J77" s="20">
        <v>6982103.559</v>
      </c>
      <c r="K77" s="20">
        <v>854066.078</v>
      </c>
      <c r="L77" s="20">
        <v>2400586.161</v>
      </c>
      <c r="M77" s="20">
        <v>3254652.239</v>
      </c>
      <c r="N77" s="20">
        <v>24</v>
      </c>
      <c r="O77" s="20">
        <v>85.993</v>
      </c>
      <c r="P77" s="20">
        <v>109.993</v>
      </c>
      <c r="Q77" s="20">
        <v>6115015.178</v>
      </c>
      <c r="R77" s="20">
        <v>4602264.928</v>
      </c>
      <c r="S77" s="20">
        <v>10717280.106</v>
      </c>
    </row>
    <row r="78" ht="36" spans="1:19">
      <c r="A78" s="20" t="s">
        <v>411</v>
      </c>
      <c r="B78" s="20">
        <v>63833.273</v>
      </c>
      <c r="C78" s="20">
        <v>203282.036</v>
      </c>
      <c r="D78" s="20">
        <v>267115.309</v>
      </c>
      <c r="E78" s="20">
        <v>15880.033</v>
      </c>
      <c r="F78" s="20">
        <v>204303.205</v>
      </c>
      <c r="G78" s="20">
        <v>220183.238</v>
      </c>
      <c r="H78" s="20">
        <v>5182976.53</v>
      </c>
      <c r="I78" s="20">
        <v>1809578.02</v>
      </c>
      <c r="J78" s="20">
        <v>6992554.55</v>
      </c>
      <c r="K78" s="20">
        <v>869763.402</v>
      </c>
      <c r="L78" s="20">
        <v>2399111.958</v>
      </c>
      <c r="M78" s="20">
        <v>3268875.36</v>
      </c>
      <c r="N78" s="20">
        <v>36</v>
      </c>
      <c r="O78" s="20">
        <v>86.149</v>
      </c>
      <c r="P78" s="20">
        <v>122.149</v>
      </c>
      <c r="Q78" s="20">
        <v>6132489.238</v>
      </c>
      <c r="R78" s="20">
        <v>4616361.368</v>
      </c>
      <c r="S78" s="20">
        <v>10748850.606</v>
      </c>
    </row>
    <row r="79" ht="36" spans="1:19">
      <c r="A79" s="20" t="s">
        <v>412</v>
      </c>
      <c r="B79" s="20">
        <v>64290.627</v>
      </c>
      <c r="C79" s="20">
        <v>209336.686</v>
      </c>
      <c r="D79" s="20">
        <v>273627.313</v>
      </c>
      <c r="E79" s="20">
        <v>14661.153</v>
      </c>
      <c r="F79" s="20">
        <v>192321.454</v>
      </c>
      <c r="G79" s="20">
        <v>206982.607</v>
      </c>
      <c r="H79" s="20">
        <v>5233794.147</v>
      </c>
      <c r="I79" s="20">
        <v>1770694.522</v>
      </c>
      <c r="J79" s="20">
        <v>7004488.669</v>
      </c>
      <c r="K79" s="20">
        <v>879277.528</v>
      </c>
      <c r="L79" s="20">
        <v>2307265.78</v>
      </c>
      <c r="M79" s="20">
        <v>3186543.308</v>
      </c>
      <c r="N79" s="20">
        <v>36</v>
      </c>
      <c r="O79" s="20">
        <v>86.479</v>
      </c>
      <c r="P79" s="20">
        <v>122.479</v>
      </c>
      <c r="Q79" s="20">
        <v>6192059.455</v>
      </c>
      <c r="R79" s="20">
        <v>4479704.921</v>
      </c>
      <c r="S79" s="20">
        <v>10671764.376</v>
      </c>
    </row>
    <row r="80" ht="36" spans="1:19">
      <c r="A80" s="20" t="s">
        <v>413</v>
      </c>
      <c r="B80" s="20">
        <v>65363.475</v>
      </c>
      <c r="C80" s="20">
        <v>195283.06</v>
      </c>
      <c r="D80" s="20">
        <v>260646.535</v>
      </c>
      <c r="E80" s="20">
        <v>16359.773</v>
      </c>
      <c r="F80" s="20">
        <v>185472.036</v>
      </c>
      <c r="G80" s="20">
        <v>201831.809</v>
      </c>
      <c r="H80" s="20">
        <v>5246996.943</v>
      </c>
      <c r="I80" s="20">
        <v>1648901.464</v>
      </c>
      <c r="J80" s="20">
        <v>6895898.407</v>
      </c>
      <c r="K80" s="20">
        <v>894442.21</v>
      </c>
      <c r="L80" s="20">
        <v>2247799.29</v>
      </c>
      <c r="M80" s="20">
        <v>3142241.5</v>
      </c>
      <c r="N80" s="20">
        <v>24</v>
      </c>
      <c r="O80" s="20">
        <v>86.014</v>
      </c>
      <c r="P80" s="20">
        <v>110.014</v>
      </c>
      <c r="Q80" s="20">
        <v>6223186.401</v>
      </c>
      <c r="R80" s="20">
        <v>4277541.864</v>
      </c>
      <c r="S80" s="20">
        <v>10500728.265</v>
      </c>
    </row>
    <row r="81" ht="36" spans="1:19">
      <c r="A81" s="20" t="s">
        <v>414</v>
      </c>
      <c r="B81" s="20">
        <v>68259.139</v>
      </c>
      <c r="C81" s="20">
        <v>188118.719</v>
      </c>
      <c r="D81" s="20">
        <v>256377.858</v>
      </c>
      <c r="E81" s="20">
        <v>19395.299</v>
      </c>
      <c r="F81" s="20">
        <v>168009.316</v>
      </c>
      <c r="G81" s="20">
        <v>187404.615</v>
      </c>
      <c r="H81" s="20">
        <v>5233501.337</v>
      </c>
      <c r="I81" s="20">
        <v>1618134.137</v>
      </c>
      <c r="J81" s="20">
        <v>6851635.474</v>
      </c>
      <c r="K81" s="20">
        <v>899807.984</v>
      </c>
      <c r="L81" s="20">
        <v>2250320.964</v>
      </c>
      <c r="M81" s="20">
        <v>3150128.948</v>
      </c>
      <c r="N81" s="20">
        <v>24</v>
      </c>
      <c r="O81" s="20">
        <v>87.726</v>
      </c>
      <c r="P81" s="20">
        <v>111.726</v>
      </c>
      <c r="Q81" s="20">
        <v>6220987.759</v>
      </c>
      <c r="R81" s="20">
        <v>4224670.862</v>
      </c>
      <c r="S81" s="20">
        <v>10445658.621</v>
      </c>
    </row>
    <row r="82" ht="36" spans="1:19">
      <c r="A82" s="20" t="s">
        <v>415</v>
      </c>
      <c r="B82" s="20">
        <v>71315.566</v>
      </c>
      <c r="C82" s="20">
        <v>199211.048</v>
      </c>
      <c r="D82" s="20">
        <v>270526.614</v>
      </c>
      <c r="E82" s="20">
        <v>22919.988</v>
      </c>
      <c r="F82" s="20">
        <v>159536.771</v>
      </c>
      <c r="G82" s="20">
        <v>182456.759</v>
      </c>
      <c r="H82" s="20">
        <v>5217390.438</v>
      </c>
      <c r="I82" s="20">
        <v>1569216.946</v>
      </c>
      <c r="J82" s="20">
        <v>6786607.384</v>
      </c>
      <c r="K82" s="20">
        <v>907718.686</v>
      </c>
      <c r="L82" s="20">
        <v>2229280.354</v>
      </c>
      <c r="M82" s="20">
        <v>3136999.04</v>
      </c>
      <c r="N82" s="20">
        <v>32</v>
      </c>
      <c r="O82" s="20">
        <v>79.655</v>
      </c>
      <c r="P82" s="20">
        <v>111.655</v>
      </c>
      <c r="Q82" s="20">
        <v>6219376.678</v>
      </c>
      <c r="R82" s="20">
        <v>4157324.774</v>
      </c>
      <c r="S82" s="20">
        <v>10376701.452</v>
      </c>
    </row>
    <row r="83" ht="36" spans="1:19">
      <c r="A83" s="20" t="s">
        <v>416</v>
      </c>
      <c r="B83" s="20">
        <v>69758.472</v>
      </c>
      <c r="C83" s="20">
        <v>207041.663</v>
      </c>
      <c r="D83" s="20">
        <v>276800.135</v>
      </c>
      <c r="E83" s="20">
        <v>22109.9</v>
      </c>
      <c r="F83" s="20">
        <v>177191.13</v>
      </c>
      <c r="G83" s="20">
        <v>199301.03</v>
      </c>
      <c r="H83" s="20">
        <v>5207379.701</v>
      </c>
      <c r="I83" s="20">
        <v>1544767.198</v>
      </c>
      <c r="J83" s="20">
        <v>6752146.899</v>
      </c>
      <c r="K83" s="20">
        <v>921273.256</v>
      </c>
      <c r="L83" s="20">
        <v>2216911.007</v>
      </c>
      <c r="M83" s="20">
        <v>3138184.263</v>
      </c>
      <c r="N83" s="20">
        <v>61.5</v>
      </c>
      <c r="O83" s="20">
        <v>1005.56</v>
      </c>
      <c r="P83" s="20">
        <v>1067.06</v>
      </c>
      <c r="Q83" s="20">
        <v>6220582.829</v>
      </c>
      <c r="R83" s="20">
        <v>4146916.558</v>
      </c>
      <c r="S83" s="20">
        <v>10367499.387</v>
      </c>
    </row>
    <row r="84" ht="36" spans="1:19">
      <c r="A84" s="20" t="s">
        <v>417</v>
      </c>
      <c r="B84" s="20">
        <v>73320.173</v>
      </c>
      <c r="C84" s="20">
        <v>205886.968</v>
      </c>
      <c r="D84" s="20">
        <v>279207.141</v>
      </c>
      <c r="E84" s="20">
        <v>22577.627</v>
      </c>
      <c r="F84" s="20">
        <v>184874.97</v>
      </c>
      <c r="G84" s="20">
        <v>207452.597</v>
      </c>
      <c r="H84" s="20">
        <v>5221902.938</v>
      </c>
      <c r="I84" s="20">
        <v>1517932.126</v>
      </c>
      <c r="J84" s="20">
        <v>6739835.064</v>
      </c>
      <c r="K84" s="20">
        <v>952679.029</v>
      </c>
      <c r="L84" s="20">
        <v>2170460.627</v>
      </c>
      <c r="M84" s="20">
        <v>3123139.656</v>
      </c>
      <c r="N84" s="20">
        <v>65.5</v>
      </c>
      <c r="O84" s="20">
        <v>140.69</v>
      </c>
      <c r="P84" s="20">
        <v>206.19</v>
      </c>
      <c r="Q84" s="20">
        <v>6270545.267</v>
      </c>
      <c r="R84" s="20">
        <v>4079295.381</v>
      </c>
      <c r="S84" s="20">
        <v>10349840.648</v>
      </c>
    </row>
    <row r="85" ht="36" spans="1:19">
      <c r="A85" s="20" t="s">
        <v>418</v>
      </c>
      <c r="B85" s="20">
        <v>74049.782</v>
      </c>
      <c r="C85" s="20">
        <v>201218.778</v>
      </c>
      <c r="D85" s="20">
        <v>275268.56</v>
      </c>
      <c r="E85" s="20">
        <v>22794.552</v>
      </c>
      <c r="F85" s="20">
        <v>195465.732</v>
      </c>
      <c r="G85" s="20">
        <v>218260.284</v>
      </c>
      <c r="H85" s="20">
        <v>5189001.034</v>
      </c>
      <c r="I85" s="20">
        <v>1533938.786</v>
      </c>
      <c r="J85" s="20">
        <v>6722939.82</v>
      </c>
      <c r="K85" s="20">
        <v>951423.506</v>
      </c>
      <c r="L85" s="20">
        <v>2140779.444</v>
      </c>
      <c r="M85" s="20">
        <v>3092202.95</v>
      </c>
      <c r="N85" s="20">
        <v>69.5</v>
      </c>
      <c r="O85" s="20">
        <v>63.313</v>
      </c>
      <c r="P85" s="20">
        <v>132.813</v>
      </c>
      <c r="Q85" s="20">
        <v>6237338.374</v>
      </c>
      <c r="R85" s="20">
        <v>4071466.053</v>
      </c>
      <c r="S85" s="20">
        <v>10308804.427</v>
      </c>
    </row>
    <row r="86" ht="36" spans="1:19">
      <c r="A86" s="20" t="s">
        <v>419</v>
      </c>
      <c r="B86" s="20">
        <v>76533.613</v>
      </c>
      <c r="C86" s="20">
        <v>199310.961</v>
      </c>
      <c r="D86" s="20">
        <v>275844.574</v>
      </c>
      <c r="E86" s="20">
        <v>23653.443</v>
      </c>
      <c r="F86" s="20">
        <v>189443.293</v>
      </c>
      <c r="G86" s="20">
        <v>213096.736</v>
      </c>
      <c r="H86" s="20">
        <v>5148635.942</v>
      </c>
      <c r="I86" s="20">
        <v>1502923.39</v>
      </c>
      <c r="J86" s="20">
        <v>6651559.332</v>
      </c>
      <c r="K86" s="20">
        <v>918476.977</v>
      </c>
      <c r="L86" s="20">
        <v>2139477.932</v>
      </c>
      <c r="M86" s="20">
        <v>3057954.909</v>
      </c>
      <c r="N86" s="20">
        <v>74</v>
      </c>
      <c r="O86" s="20">
        <v>147.605</v>
      </c>
      <c r="P86" s="20">
        <v>221.605</v>
      </c>
      <c r="Q86" s="20">
        <v>6167373.975</v>
      </c>
      <c r="R86" s="20">
        <v>4031303.181</v>
      </c>
      <c r="S86" s="20">
        <v>10198677.156</v>
      </c>
    </row>
    <row r="87" ht="36" spans="1:19">
      <c r="A87" s="20" t="s">
        <v>420</v>
      </c>
      <c r="B87" s="20">
        <v>77874.067</v>
      </c>
      <c r="C87" s="20">
        <v>204129.544</v>
      </c>
      <c r="D87" s="20">
        <v>282003.611</v>
      </c>
      <c r="E87" s="20">
        <v>23468.321</v>
      </c>
      <c r="F87" s="20">
        <v>183477.423</v>
      </c>
      <c r="G87" s="20">
        <v>206945.744</v>
      </c>
      <c r="H87" s="20">
        <v>5138758.842</v>
      </c>
      <c r="I87" s="20">
        <v>1442006.65</v>
      </c>
      <c r="J87" s="20">
        <v>6580765.492</v>
      </c>
      <c r="K87" s="20">
        <v>943564.948</v>
      </c>
      <c r="L87" s="20">
        <v>2112166.007</v>
      </c>
      <c r="M87" s="20">
        <v>3055730.955</v>
      </c>
      <c r="N87" s="20">
        <v>79</v>
      </c>
      <c r="O87" s="20">
        <v>155.331</v>
      </c>
      <c r="P87" s="20">
        <v>234.331</v>
      </c>
      <c r="Q87" s="20">
        <v>6183745.178</v>
      </c>
      <c r="R87" s="20">
        <v>3941934.955</v>
      </c>
      <c r="S87" s="20">
        <v>10125680.133</v>
      </c>
    </row>
    <row r="88" ht="36" spans="1:19">
      <c r="A88" s="20" t="s">
        <v>421</v>
      </c>
      <c r="B88" s="20">
        <v>79946.934</v>
      </c>
      <c r="C88" s="20">
        <v>212987.536</v>
      </c>
      <c r="D88" s="20">
        <v>292934.47</v>
      </c>
      <c r="E88" s="20">
        <v>24042.8</v>
      </c>
      <c r="F88" s="20">
        <v>185914.935</v>
      </c>
      <c r="G88" s="20">
        <v>209957.735</v>
      </c>
      <c r="H88" s="20">
        <v>5155368.151</v>
      </c>
      <c r="I88" s="20">
        <v>1423846.176</v>
      </c>
      <c r="J88" s="20">
        <v>6579214.327</v>
      </c>
      <c r="K88" s="20">
        <v>950993.932</v>
      </c>
      <c r="L88" s="20">
        <v>2098225.328</v>
      </c>
      <c r="M88" s="20">
        <v>3049219.26</v>
      </c>
      <c r="N88" s="20">
        <v>87.5</v>
      </c>
      <c r="O88" s="20">
        <v>165.522</v>
      </c>
      <c r="P88" s="20">
        <v>253.022</v>
      </c>
      <c r="Q88" s="20">
        <v>6210439.317</v>
      </c>
      <c r="R88" s="20">
        <v>3921139.497</v>
      </c>
      <c r="S88" s="20">
        <v>10131578.814</v>
      </c>
    </row>
    <row r="89" ht="36" spans="1:19">
      <c r="A89" s="20" t="s">
        <v>422</v>
      </c>
      <c r="B89" s="20">
        <v>75037.839</v>
      </c>
      <c r="C89" s="20">
        <v>217775.89</v>
      </c>
      <c r="D89" s="20">
        <v>292813.729</v>
      </c>
      <c r="E89" s="20">
        <v>22712.143</v>
      </c>
      <c r="F89" s="20">
        <v>187095.743</v>
      </c>
      <c r="G89" s="20">
        <v>209807.886</v>
      </c>
      <c r="H89" s="20">
        <v>5077492.683</v>
      </c>
      <c r="I89" s="20">
        <v>1418475.723</v>
      </c>
      <c r="J89" s="20">
        <v>6495968.406</v>
      </c>
      <c r="K89" s="20">
        <v>935172.786</v>
      </c>
      <c r="L89" s="20">
        <v>2089282.815</v>
      </c>
      <c r="M89" s="20">
        <v>3024455.601</v>
      </c>
      <c r="N89" s="20">
        <v>76.5</v>
      </c>
      <c r="O89" s="20">
        <v>161.174</v>
      </c>
      <c r="P89" s="20">
        <v>237.674</v>
      </c>
      <c r="Q89" s="20">
        <v>6110491.951</v>
      </c>
      <c r="R89" s="20">
        <v>3912791.345</v>
      </c>
      <c r="S89" s="20">
        <v>10023283.296</v>
      </c>
    </row>
    <row r="90" ht="36" spans="1:19">
      <c r="A90" s="20" t="s">
        <v>423</v>
      </c>
      <c r="B90" s="20">
        <v>73852.248</v>
      </c>
      <c r="C90" s="20">
        <v>218733.775</v>
      </c>
      <c r="D90" s="20">
        <v>292586.023</v>
      </c>
      <c r="E90" s="20">
        <v>21153.928</v>
      </c>
      <c r="F90" s="20">
        <v>170439.111</v>
      </c>
      <c r="G90" s="20">
        <v>191593.039</v>
      </c>
      <c r="H90" s="20">
        <v>5073217.9</v>
      </c>
      <c r="I90" s="20">
        <v>1436602.569</v>
      </c>
      <c r="J90" s="20">
        <v>6509820.469</v>
      </c>
      <c r="K90" s="20">
        <v>936989.174</v>
      </c>
      <c r="L90" s="20">
        <v>2092327.858</v>
      </c>
      <c r="M90" s="20">
        <v>3029317.032</v>
      </c>
      <c r="N90" s="20">
        <v>104.5</v>
      </c>
      <c r="O90" s="20">
        <v>160.618</v>
      </c>
      <c r="P90" s="20">
        <v>265.118</v>
      </c>
      <c r="Q90" s="20">
        <v>6105317.75</v>
      </c>
      <c r="R90" s="20">
        <v>3918263.931</v>
      </c>
      <c r="S90" s="20">
        <v>10023581.681</v>
      </c>
    </row>
    <row r="91" ht="36" spans="1:19">
      <c r="A91" s="20" t="s">
        <v>424</v>
      </c>
      <c r="B91" s="20">
        <v>75555.127</v>
      </c>
      <c r="C91" s="20">
        <v>221267.253</v>
      </c>
      <c r="D91" s="20">
        <v>296822.38</v>
      </c>
      <c r="E91" s="20">
        <v>20904.021</v>
      </c>
      <c r="F91" s="20">
        <v>169438.768</v>
      </c>
      <c r="G91" s="20">
        <v>190342.789</v>
      </c>
      <c r="H91" s="20">
        <v>5017839.418</v>
      </c>
      <c r="I91" s="20">
        <v>1417646.523</v>
      </c>
      <c r="J91" s="20">
        <v>6435485.941</v>
      </c>
      <c r="K91" s="20">
        <v>923863.344</v>
      </c>
      <c r="L91" s="20">
        <v>2101211.476</v>
      </c>
      <c r="M91" s="20">
        <v>3025074.82</v>
      </c>
      <c r="N91" s="20">
        <v>119.5</v>
      </c>
      <c r="O91" s="20">
        <v>165.102</v>
      </c>
      <c r="P91" s="20">
        <v>284.602</v>
      </c>
      <c r="Q91" s="20">
        <v>6038281.41</v>
      </c>
      <c r="R91" s="20">
        <v>3909729.122</v>
      </c>
      <c r="S91" s="20">
        <v>9948010.532</v>
      </c>
    </row>
    <row r="92" ht="36" spans="1:19">
      <c r="A92" s="20" t="s">
        <v>425</v>
      </c>
      <c r="B92" s="20">
        <v>73788.434</v>
      </c>
      <c r="C92" s="20">
        <v>212903.814</v>
      </c>
      <c r="D92" s="20">
        <v>286692.248</v>
      </c>
      <c r="E92" s="20">
        <v>18859.231</v>
      </c>
      <c r="F92" s="20">
        <v>172109.218</v>
      </c>
      <c r="G92" s="20">
        <v>190968.449</v>
      </c>
      <c r="H92" s="20">
        <v>4951173.756</v>
      </c>
      <c r="I92" s="20">
        <v>1410722.754</v>
      </c>
      <c r="J92" s="20">
        <v>6361896.51</v>
      </c>
      <c r="K92" s="20">
        <v>890796.154</v>
      </c>
      <c r="L92" s="20">
        <v>2106562.372</v>
      </c>
      <c r="M92" s="20">
        <v>2997358.526</v>
      </c>
      <c r="N92" s="20">
        <v>119.5</v>
      </c>
      <c r="O92" s="20">
        <v>168.276</v>
      </c>
      <c r="P92" s="20">
        <v>287.776</v>
      </c>
      <c r="Q92" s="20">
        <v>5934737.075</v>
      </c>
      <c r="R92" s="20">
        <v>3902466.434</v>
      </c>
      <c r="S92" s="20">
        <v>9837203.509</v>
      </c>
    </row>
    <row r="93" ht="36" spans="1:19">
      <c r="A93" s="20" t="s">
        <v>426</v>
      </c>
      <c r="B93" s="20">
        <v>74744.768</v>
      </c>
      <c r="C93" s="20">
        <v>213940.737</v>
      </c>
      <c r="D93" s="20">
        <v>288685.505</v>
      </c>
      <c r="E93" s="20">
        <v>17248.724</v>
      </c>
      <c r="F93" s="20">
        <v>168642.835</v>
      </c>
      <c r="G93" s="20">
        <v>185891.559</v>
      </c>
      <c r="H93" s="20">
        <v>4925611.301</v>
      </c>
      <c r="I93" s="20">
        <v>1438230.419</v>
      </c>
      <c r="J93" s="20">
        <v>6363841.72</v>
      </c>
      <c r="K93" s="20">
        <v>873503.261</v>
      </c>
      <c r="L93" s="20">
        <v>2104419.416</v>
      </c>
      <c r="M93" s="20">
        <v>2977922.677</v>
      </c>
      <c r="N93" s="20">
        <v>133.5</v>
      </c>
      <c r="O93" s="20">
        <v>157.622</v>
      </c>
      <c r="P93" s="20">
        <v>291.122</v>
      </c>
      <c r="Q93" s="20">
        <v>5891241.554</v>
      </c>
      <c r="R93" s="20">
        <v>3925391.029</v>
      </c>
      <c r="S93" s="20">
        <v>9816632.583</v>
      </c>
    </row>
    <row r="94" ht="36" spans="1:19">
      <c r="A94" s="20" t="s">
        <v>427</v>
      </c>
      <c r="B94" s="20">
        <v>74875.096</v>
      </c>
      <c r="C94" s="20">
        <v>202995.69</v>
      </c>
      <c r="D94" s="20">
        <v>277870.786</v>
      </c>
      <c r="E94" s="20">
        <v>12467.458</v>
      </c>
      <c r="F94" s="20">
        <v>165653.267</v>
      </c>
      <c r="G94" s="20">
        <v>178120.725</v>
      </c>
      <c r="H94" s="20">
        <v>4900393.842</v>
      </c>
      <c r="I94" s="20">
        <v>1419127.538</v>
      </c>
      <c r="J94" s="20">
        <v>6319521.38</v>
      </c>
      <c r="K94" s="20">
        <v>848348.084</v>
      </c>
      <c r="L94" s="20">
        <v>2098451.276</v>
      </c>
      <c r="M94" s="20">
        <v>2946799.36</v>
      </c>
      <c r="N94" s="20">
        <v>153.5</v>
      </c>
      <c r="O94" s="20">
        <v>156.819</v>
      </c>
      <c r="P94" s="20">
        <v>310.319</v>
      </c>
      <c r="Q94" s="20">
        <v>5836237.98</v>
      </c>
      <c r="R94" s="20">
        <v>3886384.59</v>
      </c>
      <c r="S94" s="20">
        <v>9722622.57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10"/>
  <sheetViews>
    <sheetView workbookViewId="0">
      <selection activeCell="L4" sqref="L4:L10"/>
    </sheetView>
  </sheetViews>
  <sheetFormatPr defaultColWidth="9" defaultRowHeight="16.8"/>
  <cols>
    <col min="1" max="1" width="13.5714285714286" customWidth="1"/>
    <col min="2" max="2" width="14" customWidth="1"/>
    <col min="3" max="3" width="9.28571428571429" customWidth="1"/>
    <col min="4" max="4" width="12.5714285714286" customWidth="1"/>
    <col min="6" max="6" width="12.5714285714286" customWidth="1"/>
    <col min="8" max="8" width="12.5714285714286" customWidth="1"/>
    <col min="10" max="10" width="12.5714285714286" customWidth="1"/>
    <col min="14" max="14" width="12.5714285714286" customWidth="1"/>
    <col min="16" max="16" width="11.2857142857143" customWidth="1"/>
    <col min="18" max="18" width="12.5714285714286" customWidth="1"/>
    <col min="20" max="20" width="12.5714285714286" customWidth="1"/>
    <col min="22" max="22" width="12.5714285714286" customWidth="1"/>
    <col min="24" max="24" width="11.2857142857143" customWidth="1"/>
    <col min="26" max="26" width="12.5714285714286" customWidth="1"/>
    <col min="36" max="36" width="14" customWidth="1"/>
    <col min="37" max="37" width="9.28571428571429" customWidth="1"/>
    <col min="38" max="38" width="14" customWidth="1"/>
    <col min="40" max="40" width="12.5714285714286" customWidth="1"/>
    <col min="42" max="42" width="12.5714285714286" customWidth="1"/>
    <col min="44" max="44" width="12.5714285714286" customWidth="1"/>
    <col min="46" max="46" width="11.2857142857143" customWidth="1"/>
    <col min="48" max="48" width="14" customWidth="1"/>
    <col min="52" max="52" width="14" customWidth="1"/>
    <col min="54" max="54" width="12.5714285714286" customWidth="1"/>
    <col min="56" max="56" width="14" customWidth="1"/>
    <col min="58" max="58" width="12.5714285714286" customWidth="1"/>
    <col min="60" max="60" width="14" customWidth="1"/>
    <col min="62" max="62" width="15.8571428571429" customWidth="1"/>
    <col min="63" max="63" width="9.28571428571429" customWidth="1"/>
    <col min="64" max="64" width="15.8571428571429" customWidth="1"/>
    <col min="66" max="66" width="12.5714285714286" customWidth="1"/>
    <col min="68" max="68" width="14" customWidth="1"/>
    <col min="70" max="70" width="14" customWidth="1"/>
    <col min="72" max="72" width="14" customWidth="1"/>
    <col min="74" max="74" width="12.5714285714286" customWidth="1"/>
    <col min="76" max="76" width="14" customWidth="1"/>
    <col min="77" max="77" width="9.28571428571429" customWidth="1"/>
    <col min="80" max="80" width="15.8571428571429" customWidth="1"/>
    <col min="82" max="82" width="14" customWidth="1"/>
    <col min="84" max="84" width="15.8571428571429" customWidth="1"/>
    <col min="85" max="85" width="9.28571428571429" customWidth="1"/>
    <col min="86" max="86" width="14" customWidth="1"/>
    <col min="88" max="88" width="12.5714285714286" customWidth="1"/>
    <col min="90" max="90" width="11.2857142857143" customWidth="1"/>
    <col min="92" max="92" width="14" customWidth="1"/>
    <col min="94" max="94" width="12.5714285714286" customWidth="1"/>
    <col min="95" max="95" width="9.28571428571429" customWidth="1"/>
    <col min="96" max="96" width="15.8571428571429" customWidth="1"/>
    <col min="98" max="98" width="14" customWidth="1"/>
    <col min="99" max="99" width="9.28571428571429" customWidth="1"/>
    <col min="100" max="100" width="15.8571428571429" customWidth="1"/>
    <col min="101" max="101" width="9.28571428571429" customWidth="1"/>
    <col min="102" max="102" width="14" customWidth="1"/>
    <col min="104" max="104" width="11.2857142857143" customWidth="1"/>
    <col min="106" max="106" width="14" customWidth="1"/>
    <col min="108" max="108" width="14" customWidth="1"/>
    <col min="110" max="110" width="15.8571428571429" customWidth="1"/>
    <col min="111" max="111" width="9.28571428571429" customWidth="1"/>
  </cols>
  <sheetData>
    <row r="1" ht="71" spans="1:114">
      <c r="A1" s="19" t="s">
        <v>319</v>
      </c>
      <c r="B1" s="19" t="s">
        <v>43</v>
      </c>
      <c r="C1" s="19" t="s">
        <v>428</v>
      </c>
      <c r="D1" s="19" t="s">
        <v>46</v>
      </c>
      <c r="E1" s="19" t="s">
        <v>429</v>
      </c>
      <c r="F1" s="19" t="s">
        <v>49</v>
      </c>
      <c r="G1" s="19" t="s">
        <v>430</v>
      </c>
      <c r="H1" s="19" t="s">
        <v>52</v>
      </c>
      <c r="I1" s="19" t="s">
        <v>431</v>
      </c>
      <c r="J1" s="19" t="s">
        <v>55</v>
      </c>
      <c r="K1" s="19" t="s">
        <v>432</v>
      </c>
      <c r="L1" s="19" t="s">
        <v>58</v>
      </c>
      <c r="M1" s="19" t="s">
        <v>433</v>
      </c>
      <c r="N1" s="19" t="s">
        <v>61</v>
      </c>
      <c r="O1" s="19" t="s">
        <v>434</v>
      </c>
      <c r="P1" s="19" t="s">
        <v>64</v>
      </c>
      <c r="Q1" s="19" t="s">
        <v>435</v>
      </c>
      <c r="R1" s="19" t="s">
        <v>67</v>
      </c>
      <c r="S1" s="19" t="s">
        <v>436</v>
      </c>
      <c r="T1" s="19" t="s">
        <v>70</v>
      </c>
      <c r="U1" s="19" t="s">
        <v>437</v>
      </c>
      <c r="V1" s="19" t="s">
        <v>73</v>
      </c>
      <c r="W1" s="19" t="s">
        <v>438</v>
      </c>
      <c r="X1" s="19" t="s">
        <v>76</v>
      </c>
      <c r="Y1" s="19" t="s">
        <v>439</v>
      </c>
      <c r="Z1" s="19" t="s">
        <v>79</v>
      </c>
      <c r="AA1" s="19" t="s">
        <v>440</v>
      </c>
      <c r="AB1" s="19" t="s">
        <v>82</v>
      </c>
      <c r="AC1" s="19" t="s">
        <v>441</v>
      </c>
      <c r="AD1" s="19" t="s">
        <v>85</v>
      </c>
      <c r="AE1" s="19" t="s">
        <v>442</v>
      </c>
      <c r="AF1" s="19" t="s">
        <v>88</v>
      </c>
      <c r="AG1" s="19" t="s">
        <v>443</v>
      </c>
      <c r="AH1" s="19" t="s">
        <v>91</v>
      </c>
      <c r="AI1" s="19" t="s">
        <v>444</v>
      </c>
      <c r="AJ1" s="19" t="s">
        <v>94</v>
      </c>
      <c r="AK1" s="19" t="s">
        <v>445</v>
      </c>
      <c r="AL1" s="19" t="s">
        <v>97</v>
      </c>
      <c r="AM1" s="19" t="s">
        <v>446</v>
      </c>
      <c r="AN1" s="19" t="s">
        <v>100</v>
      </c>
      <c r="AO1" s="19" t="s">
        <v>447</v>
      </c>
      <c r="AP1" s="19" t="s">
        <v>103</v>
      </c>
      <c r="AQ1" s="19" t="s">
        <v>448</v>
      </c>
      <c r="AR1" s="19" t="s">
        <v>106</v>
      </c>
      <c r="AS1" s="19" t="s">
        <v>449</v>
      </c>
      <c r="AT1" s="19" t="s">
        <v>109</v>
      </c>
      <c r="AU1" s="19" t="s">
        <v>450</v>
      </c>
      <c r="AV1" s="19" t="s">
        <v>112</v>
      </c>
      <c r="AW1" s="19" t="s">
        <v>451</v>
      </c>
      <c r="AX1" s="19" t="s">
        <v>115</v>
      </c>
      <c r="AY1" s="19" t="s">
        <v>452</v>
      </c>
      <c r="AZ1" s="19" t="s">
        <v>118</v>
      </c>
      <c r="BA1" s="19" t="s">
        <v>453</v>
      </c>
      <c r="BB1" s="19" t="s">
        <v>121</v>
      </c>
      <c r="BC1" s="19" t="s">
        <v>454</v>
      </c>
      <c r="BD1" s="19" t="s">
        <v>124</v>
      </c>
      <c r="BE1" s="19" t="s">
        <v>455</v>
      </c>
      <c r="BF1" s="19" t="s">
        <v>127</v>
      </c>
      <c r="BG1" s="19" t="s">
        <v>456</v>
      </c>
      <c r="BH1" s="19" t="s">
        <v>130</v>
      </c>
      <c r="BI1" s="19" t="s">
        <v>457</v>
      </c>
      <c r="BJ1" s="19" t="s">
        <v>132</v>
      </c>
      <c r="BK1" s="19" t="s">
        <v>458</v>
      </c>
      <c r="BL1" s="19" t="s">
        <v>135</v>
      </c>
      <c r="BM1" s="19" t="s">
        <v>459</v>
      </c>
      <c r="BN1" s="19" t="s">
        <v>138</v>
      </c>
      <c r="BO1" s="19" t="s">
        <v>460</v>
      </c>
      <c r="BP1" s="19" t="s">
        <v>141</v>
      </c>
      <c r="BQ1" s="19" t="s">
        <v>461</v>
      </c>
      <c r="BR1" s="19" t="s">
        <v>144</v>
      </c>
      <c r="BS1" s="19" t="s">
        <v>462</v>
      </c>
      <c r="BT1" s="19" t="s">
        <v>147</v>
      </c>
      <c r="BU1" s="19" t="s">
        <v>463</v>
      </c>
      <c r="BV1" s="19" t="s">
        <v>150</v>
      </c>
      <c r="BW1" s="19" t="s">
        <v>464</v>
      </c>
      <c r="BX1" s="19" t="s">
        <v>151</v>
      </c>
      <c r="BY1" s="19" t="s">
        <v>465</v>
      </c>
      <c r="BZ1" s="19" t="s">
        <v>154</v>
      </c>
      <c r="CA1" s="19" t="s">
        <v>466</v>
      </c>
      <c r="CB1" s="19" t="s">
        <v>157</v>
      </c>
      <c r="CC1" s="19" t="s">
        <v>467</v>
      </c>
      <c r="CD1" s="19" t="s">
        <v>159</v>
      </c>
      <c r="CE1" s="19" t="s">
        <v>468</v>
      </c>
      <c r="CF1" s="19" t="s">
        <v>162</v>
      </c>
      <c r="CG1" s="19" t="s">
        <v>469</v>
      </c>
      <c r="CH1" s="19" t="s">
        <v>165</v>
      </c>
      <c r="CI1" s="19" t="s">
        <v>470</v>
      </c>
      <c r="CJ1" s="19" t="s">
        <v>168</v>
      </c>
      <c r="CK1" s="19" t="s">
        <v>471</v>
      </c>
      <c r="CL1" s="19" t="s">
        <v>171</v>
      </c>
      <c r="CM1" s="19" t="s">
        <v>472</v>
      </c>
      <c r="CN1" s="19" t="s">
        <v>174</v>
      </c>
      <c r="CO1" s="19" t="s">
        <v>473</v>
      </c>
      <c r="CP1" s="19" t="s">
        <v>177</v>
      </c>
      <c r="CQ1" s="19" t="s">
        <v>474</v>
      </c>
      <c r="CR1" s="19" t="s">
        <v>180</v>
      </c>
      <c r="CS1" s="19" t="s">
        <v>475</v>
      </c>
      <c r="CT1" s="19" t="s">
        <v>183</v>
      </c>
      <c r="CU1" s="19" t="s">
        <v>476</v>
      </c>
      <c r="CV1" s="19" t="s">
        <v>190</v>
      </c>
      <c r="CW1" s="19" t="s">
        <v>477</v>
      </c>
      <c r="CX1" s="19" t="s">
        <v>193</v>
      </c>
      <c r="CY1" s="19" t="s">
        <v>478</v>
      </c>
      <c r="CZ1" s="19" t="s">
        <v>196</v>
      </c>
      <c r="DA1" s="19" t="s">
        <v>479</v>
      </c>
      <c r="DB1" s="19" t="s">
        <v>199</v>
      </c>
      <c r="DC1" s="19" t="s">
        <v>480</v>
      </c>
      <c r="DD1" s="19" t="s">
        <v>202</v>
      </c>
      <c r="DE1" s="19" t="s">
        <v>481</v>
      </c>
      <c r="DF1" s="19" t="s">
        <v>482</v>
      </c>
      <c r="DG1" s="19" t="s">
        <v>483</v>
      </c>
    </row>
    <row r="2" ht="36" spans="1:114">
      <c r="A2" s="22" t="s">
        <v>484</v>
      </c>
      <c r="B2" s="19" t="s">
        <v>485</v>
      </c>
      <c r="C2" s="19"/>
      <c r="D2" s="173" t="s">
        <v>47</v>
      </c>
      <c r="E2" s="19"/>
      <c r="F2" s="23" t="s">
        <v>50</v>
      </c>
      <c r="G2" s="19"/>
      <c r="H2" s="173" t="s">
        <v>53</v>
      </c>
      <c r="I2" s="19"/>
      <c r="J2" s="173" t="s">
        <v>56</v>
      </c>
      <c r="K2" s="19"/>
      <c r="L2" s="173" t="s">
        <v>59</v>
      </c>
      <c r="M2" s="19"/>
      <c r="N2" s="173" t="s">
        <v>62</v>
      </c>
      <c r="O2" s="19"/>
      <c r="P2" s="173" t="s">
        <v>486</v>
      </c>
      <c r="Q2" s="174" t="s">
        <v>487</v>
      </c>
      <c r="R2" s="174" t="s">
        <v>68</v>
      </c>
      <c r="S2" s="174" t="s">
        <v>488</v>
      </c>
      <c r="T2" s="25" t="s">
        <v>489</v>
      </c>
      <c r="U2" s="26" t="s">
        <v>72</v>
      </c>
      <c r="V2" s="174" t="s">
        <v>74</v>
      </c>
      <c r="W2" s="175" t="s">
        <v>75</v>
      </c>
      <c r="X2" s="24" t="s">
        <v>77</v>
      </c>
      <c r="Y2" s="26" t="s">
        <v>78</v>
      </c>
      <c r="Z2" s="24" t="s">
        <v>80</v>
      </c>
      <c r="AA2" s="26" t="s">
        <v>81</v>
      </c>
      <c r="AB2" s="176" t="s">
        <v>490</v>
      </c>
      <c r="AC2" s="177" t="s">
        <v>491</v>
      </c>
      <c r="AD2" s="174" t="s">
        <v>86</v>
      </c>
      <c r="AE2" s="175" t="s">
        <v>87</v>
      </c>
      <c r="AF2" s="24" t="s">
        <v>89</v>
      </c>
      <c r="AG2" s="26" t="s">
        <v>492</v>
      </c>
      <c r="AH2" s="24" t="s">
        <v>92</v>
      </c>
      <c r="AI2" s="26" t="s">
        <v>93</v>
      </c>
      <c r="AJ2" s="27" t="s">
        <v>95</v>
      </c>
      <c r="AK2" s="29" t="s">
        <v>493</v>
      </c>
      <c r="AL2" s="24" t="s">
        <v>98</v>
      </c>
      <c r="AM2" s="26" t="s">
        <v>99</v>
      </c>
      <c r="AN2" s="24" t="s">
        <v>101</v>
      </c>
      <c r="AO2" s="26" t="s">
        <v>102</v>
      </c>
      <c r="AP2" s="24" t="s">
        <v>104</v>
      </c>
      <c r="AQ2" s="26" t="s">
        <v>105</v>
      </c>
      <c r="AR2" s="174" t="s">
        <v>107</v>
      </c>
      <c r="AS2" s="174" t="s">
        <v>494</v>
      </c>
      <c r="AT2" s="174" t="s">
        <v>110</v>
      </c>
      <c r="AU2" s="174" t="s">
        <v>495</v>
      </c>
      <c r="AV2" s="174" t="s">
        <v>113</v>
      </c>
      <c r="AW2" s="175" t="s">
        <v>114</v>
      </c>
      <c r="AX2" s="27" t="s">
        <v>496</v>
      </c>
      <c r="AY2" s="177" t="s">
        <v>497</v>
      </c>
      <c r="AZ2" s="27" t="s">
        <v>119</v>
      </c>
      <c r="BA2" s="177" t="s">
        <v>120</v>
      </c>
      <c r="BB2" s="27" t="s">
        <v>122</v>
      </c>
      <c r="BC2" s="28" t="s">
        <v>123</v>
      </c>
      <c r="BD2" s="27" t="s">
        <v>125</v>
      </c>
      <c r="BE2" s="28" t="s">
        <v>126</v>
      </c>
      <c r="BF2" s="24" t="s">
        <v>128</v>
      </c>
      <c r="BG2" s="30" t="s">
        <v>129</v>
      </c>
      <c r="BH2" s="24" t="s">
        <v>131</v>
      </c>
      <c r="BI2" s="175" t="s">
        <v>114</v>
      </c>
      <c r="BJ2" s="27" t="s">
        <v>498</v>
      </c>
      <c r="BK2" s="27" t="s">
        <v>499</v>
      </c>
      <c r="BL2" s="178" t="s">
        <v>136</v>
      </c>
      <c r="BM2" s="179" t="s">
        <v>137</v>
      </c>
      <c r="BN2" s="174" t="s">
        <v>139</v>
      </c>
      <c r="BO2" s="174" t="s">
        <v>500</v>
      </c>
      <c r="BP2" s="24" t="s">
        <v>142</v>
      </c>
      <c r="BQ2" s="24" t="s">
        <v>501</v>
      </c>
      <c r="BR2" s="174" t="s">
        <v>145</v>
      </c>
      <c r="BS2" s="174" t="s">
        <v>502</v>
      </c>
      <c r="BT2" s="24" t="s">
        <v>148</v>
      </c>
      <c r="BU2" s="24" t="s">
        <v>503</v>
      </c>
      <c r="BV2" s="24" t="s">
        <v>113</v>
      </c>
      <c r="BW2" s="26" t="s">
        <v>114</v>
      </c>
      <c r="BX2" s="27" t="s">
        <v>152</v>
      </c>
      <c r="BY2" s="177" t="s">
        <v>153</v>
      </c>
      <c r="BZ2" s="27" t="s">
        <v>504</v>
      </c>
      <c r="CA2" s="29" t="s">
        <v>505</v>
      </c>
      <c r="CB2" s="27" t="s">
        <v>80</v>
      </c>
      <c r="CC2" s="177" t="s">
        <v>158</v>
      </c>
      <c r="CD2" s="24" t="s">
        <v>160</v>
      </c>
      <c r="CE2" s="175" t="s">
        <v>161</v>
      </c>
      <c r="CF2" s="174" t="s">
        <v>163</v>
      </c>
      <c r="CG2" s="175" t="s">
        <v>164</v>
      </c>
      <c r="CH2" s="24" t="s">
        <v>166</v>
      </c>
      <c r="CI2" s="24" t="s">
        <v>506</v>
      </c>
      <c r="CJ2" s="24" t="s">
        <v>169</v>
      </c>
      <c r="CK2" s="24" t="s">
        <v>507</v>
      </c>
      <c r="CL2" s="174" t="s">
        <v>172</v>
      </c>
      <c r="CM2" s="174" t="s">
        <v>508</v>
      </c>
      <c r="CN2" s="174" t="s">
        <v>175</v>
      </c>
      <c r="CO2" s="174" t="s">
        <v>509</v>
      </c>
      <c r="CP2" s="24" t="s">
        <v>178</v>
      </c>
      <c r="CQ2" s="26" t="s">
        <v>179</v>
      </c>
      <c r="CR2" s="24" t="s">
        <v>181</v>
      </c>
      <c r="CS2" s="26" t="s">
        <v>182</v>
      </c>
      <c r="CT2" s="24" t="s">
        <v>510</v>
      </c>
      <c r="CU2" s="32" t="s">
        <v>511</v>
      </c>
      <c r="CV2" s="24" t="s">
        <v>512</v>
      </c>
      <c r="CW2" s="174" t="s">
        <v>513</v>
      </c>
      <c r="CX2" s="174" t="s">
        <v>194</v>
      </c>
      <c r="CY2" s="174" t="s">
        <v>514</v>
      </c>
      <c r="CZ2" s="174" t="s">
        <v>197</v>
      </c>
      <c r="DA2" s="174" t="s">
        <v>515</v>
      </c>
      <c r="DB2" s="174" t="s">
        <v>200</v>
      </c>
      <c r="DC2" s="174" t="s">
        <v>516</v>
      </c>
      <c r="DD2" s="174" t="s">
        <v>203</v>
      </c>
      <c r="DE2" s="175" t="s">
        <v>114</v>
      </c>
      <c r="DF2" s="27" t="s">
        <v>517</v>
      </c>
      <c r="DG2" s="177" t="s">
        <v>518</v>
      </c>
      <c r="DH2" s="33"/>
      <c r="DJ2" s="33"/>
    </row>
    <row r="3" ht="17.6" spans="1:114">
      <c r="A3" s="22"/>
      <c r="B3" s="34" t="s">
        <v>45</v>
      </c>
      <c r="C3" s="34" t="s">
        <v>519</v>
      </c>
      <c r="D3" s="180" t="s">
        <v>48</v>
      </c>
      <c r="E3" s="19"/>
      <c r="F3" s="35" t="s">
        <v>51</v>
      </c>
      <c r="G3" s="19"/>
      <c r="H3" s="180" t="s">
        <v>54</v>
      </c>
      <c r="I3" s="19"/>
      <c r="J3" s="180" t="s">
        <v>57</v>
      </c>
      <c r="K3" s="19"/>
      <c r="L3" s="180" t="s">
        <v>520</v>
      </c>
      <c r="M3" s="19"/>
      <c r="N3" s="180" t="s">
        <v>521</v>
      </c>
      <c r="O3" s="19"/>
      <c r="P3" s="19"/>
      <c r="Q3" s="19"/>
      <c r="R3" s="19"/>
      <c r="S3" s="19"/>
      <c r="T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row>
    <row r="4" ht="18" spans="1:114">
      <c r="A4" s="20" t="s">
        <v>336</v>
      </c>
      <c r="B4" s="36">
        <v>363633.971</v>
      </c>
      <c r="C4" s="36">
        <v>10.8</v>
      </c>
      <c r="D4" s="36">
        <v>10607.882</v>
      </c>
      <c r="E4" s="36"/>
      <c r="F4" s="36">
        <v>31347.566</v>
      </c>
      <c r="G4" s="36"/>
      <c r="H4" s="36">
        <v>45948.115</v>
      </c>
      <c r="I4" s="36"/>
      <c r="J4" s="36">
        <v>73129.923</v>
      </c>
      <c r="K4" s="36"/>
      <c r="L4" s="36"/>
      <c r="M4" s="36"/>
      <c r="N4" s="36">
        <v>60925.997</v>
      </c>
      <c r="O4" s="36"/>
      <c r="P4" s="36">
        <v>9998.647</v>
      </c>
      <c r="Q4" s="36"/>
      <c r="R4" s="36">
        <v>50927.35</v>
      </c>
      <c r="S4" s="36"/>
      <c r="T4" s="36">
        <v>25250.155</v>
      </c>
      <c r="U4" s="36"/>
      <c r="V4" s="36">
        <v>17583.24</v>
      </c>
      <c r="W4" s="36"/>
      <c r="X4" s="36">
        <v>4559.639</v>
      </c>
      <c r="Y4" s="36"/>
      <c r="Z4" s="36">
        <v>94281.454</v>
      </c>
      <c r="AA4" s="36"/>
      <c r="AB4" s="36"/>
      <c r="AC4" s="36"/>
      <c r="AD4" s="36"/>
      <c r="AE4" s="36"/>
      <c r="AF4" s="36"/>
      <c r="AG4" s="36"/>
      <c r="AH4" s="36"/>
      <c r="AI4" s="36"/>
      <c r="AJ4" s="36">
        <v>331240.648</v>
      </c>
      <c r="AK4" s="36">
        <v>9.4</v>
      </c>
      <c r="AL4" s="36">
        <v>105026.27</v>
      </c>
      <c r="AM4" s="36"/>
      <c r="AN4" s="36">
        <v>45450.289</v>
      </c>
      <c r="AO4" s="36"/>
      <c r="AP4" s="36">
        <v>51265.854</v>
      </c>
      <c r="AQ4" s="36"/>
      <c r="AR4" s="36">
        <v>43354.876</v>
      </c>
      <c r="AS4" s="36"/>
      <c r="AT4" s="36">
        <v>7910.978</v>
      </c>
      <c r="AU4" s="36"/>
      <c r="AV4" s="36">
        <v>129498.235</v>
      </c>
      <c r="AW4" s="36"/>
      <c r="AX4" s="36"/>
      <c r="AY4" s="36"/>
      <c r="AZ4" s="36">
        <v>215920.419</v>
      </c>
      <c r="BA4" s="36"/>
      <c r="BB4" s="36">
        <v>11933.617</v>
      </c>
      <c r="BC4" s="36"/>
      <c r="BD4" s="36">
        <v>228617.921</v>
      </c>
      <c r="BE4" s="36"/>
      <c r="BF4" s="36">
        <v>85341.292</v>
      </c>
      <c r="BG4" s="36"/>
      <c r="BH4" s="36">
        <v>143276.629</v>
      </c>
      <c r="BI4" s="36"/>
      <c r="BJ4" s="36">
        <v>1385663.033</v>
      </c>
      <c r="BK4" s="36">
        <v>-1.4</v>
      </c>
      <c r="BL4" s="36">
        <v>1313893.844</v>
      </c>
      <c r="BM4" s="36"/>
      <c r="BN4" s="36">
        <v>68879.153</v>
      </c>
      <c r="BO4" s="36"/>
      <c r="BP4" s="36">
        <v>523266.122</v>
      </c>
      <c r="BQ4" s="36"/>
      <c r="BR4" s="36">
        <v>517893.4</v>
      </c>
      <c r="BS4" s="36"/>
      <c r="BT4" s="36">
        <v>203855.169</v>
      </c>
      <c r="BU4" s="36"/>
      <c r="BV4" s="36">
        <v>71769.189</v>
      </c>
      <c r="BW4" s="36"/>
      <c r="BX4" s="36">
        <v>312060.828</v>
      </c>
      <c r="BY4" s="36">
        <v>9.7</v>
      </c>
      <c r="BZ4" s="36"/>
      <c r="CA4" s="36"/>
      <c r="CB4" s="36">
        <v>4809931.327</v>
      </c>
      <c r="CC4" s="36"/>
      <c r="CD4" s="36">
        <v>138518.368</v>
      </c>
      <c r="CE4" s="36"/>
      <c r="CF4" s="36">
        <v>1032728.289</v>
      </c>
      <c r="CG4" s="36">
        <v>4.9</v>
      </c>
      <c r="CH4" s="36">
        <v>674173.488</v>
      </c>
      <c r="CI4" s="36"/>
      <c r="CJ4" s="36">
        <v>40038.929</v>
      </c>
      <c r="CK4" s="36"/>
      <c r="CL4" s="36">
        <v>2236.778</v>
      </c>
      <c r="CM4" s="36"/>
      <c r="CN4" s="36">
        <v>316279.094</v>
      </c>
      <c r="CO4" s="36"/>
      <c r="CP4" s="36">
        <v>99687.109</v>
      </c>
      <c r="CQ4" s="36">
        <v>15.1</v>
      </c>
      <c r="CR4" s="36">
        <v>3076518.821</v>
      </c>
      <c r="CS4" s="36"/>
      <c r="CT4" s="36">
        <v>167615.406</v>
      </c>
      <c r="CU4" s="36">
        <v>7.1</v>
      </c>
      <c r="CV4" s="36">
        <v>1958342.695</v>
      </c>
      <c r="CW4" s="36">
        <v>1.1</v>
      </c>
      <c r="CX4" s="36">
        <v>148800.062</v>
      </c>
      <c r="CY4" s="36"/>
      <c r="CZ4" s="36">
        <v>7582.985</v>
      </c>
      <c r="DA4" s="36"/>
      <c r="DB4" s="36">
        <v>794177.673</v>
      </c>
      <c r="DC4" s="36"/>
      <c r="DD4" s="36">
        <v>462478.74</v>
      </c>
      <c r="DE4" s="36"/>
      <c r="DF4" s="36">
        <v>7659001.764</v>
      </c>
      <c r="DG4" s="36">
        <v>2.9</v>
      </c>
    </row>
    <row r="5" ht="18" spans="1:114">
      <c r="A5" s="20" t="s">
        <v>339</v>
      </c>
      <c r="B5" s="36">
        <v>328188.241</v>
      </c>
      <c r="C5" s="36">
        <v>7</v>
      </c>
      <c r="D5" s="36">
        <v>10407.843</v>
      </c>
      <c r="E5" s="36"/>
      <c r="F5" s="36">
        <v>27516.138</v>
      </c>
      <c r="G5" s="36"/>
      <c r="H5" s="36">
        <v>44021.965</v>
      </c>
      <c r="I5" s="36"/>
      <c r="J5" s="36">
        <v>63578.479</v>
      </c>
      <c r="K5" s="36"/>
      <c r="L5" s="36"/>
      <c r="M5" s="36"/>
      <c r="N5" s="36">
        <v>61296.591</v>
      </c>
      <c r="O5" s="36"/>
      <c r="P5" s="36">
        <v>6636.04</v>
      </c>
      <c r="Q5" s="36"/>
      <c r="R5" s="36">
        <v>54660.551</v>
      </c>
      <c r="S5" s="36"/>
      <c r="T5" s="36">
        <v>21536.222</v>
      </c>
      <c r="U5" s="36"/>
      <c r="V5" s="36">
        <v>13861.623</v>
      </c>
      <c r="W5" s="36"/>
      <c r="X5" s="36">
        <v>4752.796</v>
      </c>
      <c r="Y5" s="36"/>
      <c r="Z5" s="36">
        <v>81216.584</v>
      </c>
      <c r="AA5" s="36"/>
      <c r="AB5" s="36"/>
      <c r="AC5" s="36"/>
      <c r="AD5" s="36"/>
      <c r="AE5" s="36"/>
      <c r="AF5" s="36"/>
      <c r="AG5" s="36"/>
      <c r="AH5" s="36"/>
      <c r="AI5" s="36"/>
      <c r="AJ5" s="36">
        <v>302874.135</v>
      </c>
      <c r="AK5" s="36">
        <v>6.1</v>
      </c>
      <c r="AL5" s="36">
        <v>110085.687</v>
      </c>
      <c r="AM5" s="36"/>
      <c r="AN5" s="36">
        <v>42722.098</v>
      </c>
      <c r="AO5" s="36"/>
      <c r="AP5" s="36">
        <v>51264.121</v>
      </c>
      <c r="AQ5" s="36"/>
      <c r="AR5" s="36">
        <v>43907.262</v>
      </c>
      <c r="AS5" s="36"/>
      <c r="AT5" s="36">
        <v>7356.859</v>
      </c>
      <c r="AU5" s="36"/>
      <c r="AV5" s="36">
        <v>98802.229</v>
      </c>
      <c r="AW5" s="36"/>
      <c r="AX5" s="36"/>
      <c r="AY5" s="36"/>
      <c r="AZ5" s="36">
        <v>205053.452</v>
      </c>
      <c r="BA5" s="36"/>
      <c r="BB5" s="36">
        <v>11139.161</v>
      </c>
      <c r="BC5" s="36"/>
      <c r="BD5" s="36">
        <v>215874.986</v>
      </c>
      <c r="BE5" s="36"/>
      <c r="BF5" s="36">
        <v>88620.095</v>
      </c>
      <c r="BG5" s="36"/>
      <c r="BH5" s="36">
        <v>127254.891</v>
      </c>
      <c r="BI5" s="36"/>
      <c r="BJ5" s="36">
        <v>1405132.709</v>
      </c>
      <c r="BK5" s="36">
        <v>-2.3</v>
      </c>
      <c r="BL5" s="36">
        <v>1339249.189</v>
      </c>
      <c r="BM5" s="36"/>
      <c r="BN5" s="36">
        <v>70240.539</v>
      </c>
      <c r="BO5" s="36"/>
      <c r="BP5" s="36">
        <v>532245.948</v>
      </c>
      <c r="BQ5" s="36"/>
      <c r="BR5" s="36">
        <v>528207.436</v>
      </c>
      <c r="BS5" s="36"/>
      <c r="BT5" s="36">
        <v>208555.266</v>
      </c>
      <c r="BU5" s="36"/>
      <c r="BV5" s="36">
        <v>65883.52</v>
      </c>
      <c r="BW5" s="36"/>
      <c r="BX5" s="36">
        <v>284551.075</v>
      </c>
      <c r="BY5" s="36">
        <v>2</v>
      </c>
      <c r="BZ5" s="36"/>
      <c r="CA5" s="36"/>
      <c r="CB5" s="36">
        <v>4687506.916</v>
      </c>
      <c r="CC5" s="36"/>
      <c r="CD5" s="36">
        <v>139804.429</v>
      </c>
      <c r="CE5" s="36"/>
      <c r="CF5" s="36">
        <v>984139.371</v>
      </c>
      <c r="CG5" s="36">
        <v>4.7</v>
      </c>
      <c r="CH5" s="36">
        <v>632191.773</v>
      </c>
      <c r="CI5" s="36"/>
      <c r="CJ5" s="36">
        <v>39901.347</v>
      </c>
      <c r="CK5" s="36"/>
      <c r="CL5" s="36">
        <v>1445.849</v>
      </c>
      <c r="CM5" s="36"/>
      <c r="CN5" s="36">
        <v>310600.402</v>
      </c>
      <c r="CO5" s="36"/>
      <c r="CP5" s="36">
        <v>86607.603</v>
      </c>
      <c r="CQ5" s="36">
        <v>36.5</v>
      </c>
      <c r="CR5" s="36">
        <v>3001339.74</v>
      </c>
      <c r="CS5" s="36"/>
      <c r="CT5" s="36">
        <v>156519.886</v>
      </c>
      <c r="CU5" s="36">
        <v>2.1</v>
      </c>
      <c r="CV5" s="36">
        <v>1937565.885</v>
      </c>
      <c r="CW5" s="36">
        <v>0.9</v>
      </c>
      <c r="CX5" s="36">
        <v>151892.099</v>
      </c>
      <c r="CY5" s="36"/>
      <c r="CZ5" s="36">
        <v>6885.071</v>
      </c>
      <c r="DA5" s="36"/>
      <c r="DB5" s="36">
        <v>748476.799</v>
      </c>
      <c r="DC5" s="36"/>
      <c r="DD5" s="36">
        <v>475615.773</v>
      </c>
      <c r="DE5" s="36"/>
      <c r="DF5" s="36">
        <v>7440320.675</v>
      </c>
      <c r="DG5" s="36">
        <v>2.7</v>
      </c>
    </row>
    <row r="6" ht="18" spans="1:114">
      <c r="A6" s="20" t="s">
        <v>342</v>
      </c>
      <c r="B6" s="36">
        <v>306596.643</v>
      </c>
      <c r="C6" s="36">
        <v>-5</v>
      </c>
      <c r="D6" s="36">
        <v>10579.608</v>
      </c>
      <c r="E6" s="36"/>
      <c r="F6" s="36">
        <v>26813.224</v>
      </c>
      <c r="G6" s="36"/>
      <c r="H6" s="36">
        <v>39803.767</v>
      </c>
      <c r="I6" s="36"/>
      <c r="J6" s="36">
        <v>62683.653</v>
      </c>
      <c r="K6" s="36"/>
      <c r="L6" s="36"/>
      <c r="M6" s="36"/>
      <c r="N6" s="36">
        <v>54150.184</v>
      </c>
      <c r="O6" s="36"/>
      <c r="P6" s="36">
        <v>6090.297</v>
      </c>
      <c r="Q6" s="36"/>
      <c r="R6" s="36">
        <v>48059.887</v>
      </c>
      <c r="S6" s="36"/>
      <c r="T6" s="36">
        <v>21795.043</v>
      </c>
      <c r="U6" s="36"/>
      <c r="V6" s="36">
        <v>10977.891</v>
      </c>
      <c r="W6" s="36"/>
      <c r="X6" s="36">
        <v>4592.36</v>
      </c>
      <c r="Y6" s="36"/>
      <c r="Z6" s="36">
        <v>75200.913</v>
      </c>
      <c r="AA6" s="36"/>
      <c r="AB6" s="36"/>
      <c r="AC6" s="36"/>
      <c r="AD6" s="36"/>
      <c r="AE6" s="36"/>
      <c r="AF6" s="36"/>
      <c r="AG6" s="36"/>
      <c r="AH6" s="36"/>
      <c r="AI6" s="36"/>
      <c r="AJ6" s="36">
        <v>285580.505</v>
      </c>
      <c r="AK6" s="36">
        <v>1.3</v>
      </c>
      <c r="AL6" s="36">
        <v>100947.032</v>
      </c>
      <c r="AM6" s="36"/>
      <c r="AN6" s="36">
        <v>34495.647</v>
      </c>
      <c r="AO6" s="36"/>
      <c r="AP6" s="36">
        <v>52015.664</v>
      </c>
      <c r="AQ6" s="36"/>
      <c r="AR6" s="36">
        <v>44497.902</v>
      </c>
      <c r="AS6" s="36"/>
      <c r="AT6" s="36">
        <v>7517.762</v>
      </c>
      <c r="AU6" s="36"/>
      <c r="AV6" s="36">
        <v>98122.162</v>
      </c>
      <c r="AW6" s="36"/>
      <c r="AX6" s="36"/>
      <c r="AY6" s="36"/>
      <c r="AZ6" s="36">
        <v>194690.003</v>
      </c>
      <c r="BA6" s="36"/>
      <c r="BB6" s="36">
        <v>12926.27</v>
      </c>
      <c r="BC6" s="36"/>
      <c r="BD6" s="36">
        <v>203059.652</v>
      </c>
      <c r="BE6" s="36"/>
      <c r="BF6" s="36">
        <v>78288.138</v>
      </c>
      <c r="BG6" s="36"/>
      <c r="BH6" s="36">
        <v>124771.514</v>
      </c>
      <c r="BI6" s="36"/>
      <c r="BJ6" s="36">
        <v>1437648.757</v>
      </c>
      <c r="BK6" s="36">
        <v>-1.5</v>
      </c>
      <c r="BL6" s="36">
        <v>1372331.133</v>
      </c>
      <c r="BM6" s="36"/>
      <c r="BN6" s="36">
        <v>71745.791</v>
      </c>
      <c r="BO6" s="36"/>
      <c r="BP6" s="36">
        <v>548460.044</v>
      </c>
      <c r="BQ6" s="36"/>
      <c r="BR6" s="36">
        <v>539089.664</v>
      </c>
      <c r="BS6" s="36"/>
      <c r="BT6" s="36">
        <v>213035.634</v>
      </c>
      <c r="BU6" s="36"/>
      <c r="BV6" s="36">
        <v>65317.624</v>
      </c>
      <c r="BW6" s="36"/>
      <c r="BX6" s="36">
        <v>278886.353</v>
      </c>
      <c r="BY6" s="36">
        <v>-1.3</v>
      </c>
      <c r="BZ6" s="36"/>
      <c r="CA6" s="36"/>
      <c r="CB6" s="36">
        <v>4525136.677</v>
      </c>
      <c r="CC6" s="36"/>
      <c r="CD6" s="36">
        <v>131413.745</v>
      </c>
      <c r="CE6" s="36"/>
      <c r="CF6" s="36">
        <v>940367.197</v>
      </c>
      <c r="CG6" s="36">
        <v>0.2</v>
      </c>
      <c r="CH6" s="36">
        <v>602510.589</v>
      </c>
      <c r="CI6" s="36"/>
      <c r="CJ6" s="36">
        <v>37284.217</v>
      </c>
      <c r="CK6" s="36"/>
      <c r="CL6" s="36">
        <v>2160.781</v>
      </c>
      <c r="CM6" s="36"/>
      <c r="CN6" s="36">
        <v>298411.61</v>
      </c>
      <c r="CO6" s="36"/>
      <c r="CP6" s="36">
        <v>63461.214</v>
      </c>
      <c r="CQ6" s="36">
        <v>-0.1</v>
      </c>
      <c r="CR6" s="36">
        <v>2922795.223</v>
      </c>
      <c r="CS6" s="36"/>
      <c r="CT6" s="36">
        <v>153280.41</v>
      </c>
      <c r="CU6" s="36">
        <v>0.7</v>
      </c>
      <c r="CV6" s="36">
        <v>1920476.489</v>
      </c>
      <c r="CW6" s="36">
        <v>1.4</v>
      </c>
      <c r="CX6" s="36">
        <v>157738.367</v>
      </c>
      <c r="CY6" s="36"/>
      <c r="CZ6" s="36">
        <v>5630.61</v>
      </c>
      <c r="DA6" s="36"/>
      <c r="DB6" s="36">
        <v>685669.347</v>
      </c>
      <c r="DC6" s="36"/>
      <c r="DD6" s="36">
        <v>467099.298</v>
      </c>
      <c r="DE6" s="36"/>
      <c r="DF6" s="36">
        <v>7244524.86</v>
      </c>
      <c r="DG6" s="36">
        <v>0</v>
      </c>
    </row>
    <row r="7" ht="18" spans="1:114">
      <c r="A7" s="20" t="s">
        <v>345</v>
      </c>
      <c r="B7" s="36">
        <v>322774.747</v>
      </c>
      <c r="C7" s="36">
        <v>-0.6</v>
      </c>
      <c r="D7" s="36">
        <v>10888.719</v>
      </c>
      <c r="E7" s="36"/>
      <c r="F7" s="36">
        <v>27397.964</v>
      </c>
      <c r="G7" s="36"/>
      <c r="H7" s="36">
        <v>43053.556</v>
      </c>
      <c r="I7" s="36"/>
      <c r="J7" s="36">
        <v>72133.026</v>
      </c>
      <c r="K7" s="36"/>
      <c r="L7" s="36"/>
      <c r="M7" s="36"/>
      <c r="N7" s="36">
        <v>49492.873</v>
      </c>
      <c r="O7" s="36"/>
      <c r="P7" s="36">
        <v>5069.957</v>
      </c>
      <c r="Q7" s="36"/>
      <c r="R7" s="36">
        <v>44422.916</v>
      </c>
      <c r="S7" s="36"/>
      <c r="T7" s="36">
        <v>26661.418</v>
      </c>
      <c r="U7" s="36"/>
      <c r="V7" s="36">
        <v>14172.343</v>
      </c>
      <c r="W7" s="36"/>
      <c r="X7" s="36">
        <v>4926.074</v>
      </c>
      <c r="Y7" s="36"/>
      <c r="Z7" s="36">
        <v>74048.774</v>
      </c>
      <c r="AA7" s="36"/>
      <c r="AB7" s="36"/>
      <c r="AC7" s="36"/>
      <c r="AD7" s="36"/>
      <c r="AE7" s="36"/>
      <c r="AF7" s="36"/>
      <c r="AG7" s="36"/>
      <c r="AH7" s="36"/>
      <c r="AI7" s="36"/>
      <c r="AJ7" s="36">
        <v>282034.28</v>
      </c>
      <c r="AK7" s="36">
        <v>-0.7</v>
      </c>
      <c r="AL7" s="36">
        <v>101675.291</v>
      </c>
      <c r="AM7" s="36"/>
      <c r="AN7" s="36">
        <v>30209.397</v>
      </c>
      <c r="AO7" s="36"/>
      <c r="AP7" s="36">
        <v>52786.394</v>
      </c>
      <c r="AQ7" s="36"/>
      <c r="AR7" s="36">
        <v>45031.026</v>
      </c>
      <c r="AS7" s="36"/>
      <c r="AT7" s="36">
        <v>7755.368</v>
      </c>
      <c r="AU7" s="36"/>
      <c r="AV7" s="36">
        <v>97363.198</v>
      </c>
      <c r="AW7" s="36"/>
      <c r="AX7" s="36"/>
      <c r="AY7" s="36"/>
      <c r="AZ7" s="36">
        <v>213416.254</v>
      </c>
      <c r="BA7" s="36"/>
      <c r="BB7" s="36">
        <v>12032.436</v>
      </c>
      <c r="BC7" s="36"/>
      <c r="BD7" s="36">
        <v>197962.547</v>
      </c>
      <c r="BE7" s="36"/>
      <c r="BF7" s="36">
        <v>83789.733</v>
      </c>
      <c r="BG7" s="36"/>
      <c r="BH7" s="36">
        <v>114172.814</v>
      </c>
      <c r="BI7" s="36"/>
      <c r="BJ7" s="36">
        <v>1458963.959</v>
      </c>
      <c r="BK7" s="36">
        <v>-3.2</v>
      </c>
      <c r="BL7" s="36">
        <v>1388210.989</v>
      </c>
      <c r="BM7" s="36"/>
      <c r="BN7" s="36">
        <v>71564.501</v>
      </c>
      <c r="BO7" s="36"/>
      <c r="BP7" s="36">
        <v>568713.389</v>
      </c>
      <c r="BQ7" s="36"/>
      <c r="BR7" s="36">
        <v>536222.496</v>
      </c>
      <c r="BS7" s="36"/>
      <c r="BT7" s="36">
        <v>211710.603</v>
      </c>
      <c r="BU7" s="36"/>
      <c r="BV7" s="36">
        <v>70752.97</v>
      </c>
      <c r="BW7" s="36"/>
      <c r="BX7" s="36">
        <v>282430.925</v>
      </c>
      <c r="BY7" s="36">
        <v>-3.8</v>
      </c>
      <c r="BZ7" s="36"/>
      <c r="CA7" s="36"/>
      <c r="CB7" s="36">
        <v>4473885.306</v>
      </c>
      <c r="CC7" s="36"/>
      <c r="CD7" s="36">
        <v>134852.388</v>
      </c>
      <c r="CE7" s="36"/>
      <c r="CF7" s="36">
        <v>938125.018</v>
      </c>
      <c r="CG7" s="36">
        <v>3</v>
      </c>
      <c r="CH7" s="36">
        <v>594053.387</v>
      </c>
      <c r="CI7" s="36"/>
      <c r="CJ7" s="36">
        <v>38001.532</v>
      </c>
      <c r="CK7" s="36"/>
      <c r="CL7" s="36">
        <v>2308.27</v>
      </c>
      <c r="CM7" s="36"/>
      <c r="CN7" s="36">
        <v>303761.829</v>
      </c>
      <c r="CO7" s="36"/>
      <c r="CP7" s="36">
        <v>63510.261</v>
      </c>
      <c r="CQ7" s="36">
        <v>0.4</v>
      </c>
      <c r="CR7" s="36">
        <v>2879906.113</v>
      </c>
      <c r="CS7" s="36"/>
      <c r="CT7" s="36">
        <v>152236.385</v>
      </c>
      <c r="CU7" s="36">
        <v>7.3</v>
      </c>
      <c r="CV7" s="36">
        <v>1894346.998</v>
      </c>
      <c r="CW7" s="36">
        <v>0.3</v>
      </c>
      <c r="CX7" s="36">
        <v>145656.063</v>
      </c>
      <c r="CY7" s="36"/>
      <c r="CZ7" s="36">
        <v>5576.78</v>
      </c>
      <c r="DA7" s="36"/>
      <c r="DB7" s="36">
        <v>682089.887</v>
      </c>
      <c r="DC7" s="36"/>
      <c r="DD7" s="36">
        <v>457491.526</v>
      </c>
      <c r="DE7" s="36"/>
      <c r="DF7" s="36">
        <v>7243500.454</v>
      </c>
      <c r="DG7" s="36">
        <v>-0.4</v>
      </c>
    </row>
    <row r="8" ht="18" spans="1:114">
      <c r="A8" s="20" t="s">
        <v>348</v>
      </c>
      <c r="B8" s="36">
        <v>324870.771</v>
      </c>
      <c r="C8" s="36">
        <v>4.8</v>
      </c>
      <c r="D8" s="36">
        <v>10105.352</v>
      </c>
      <c r="E8" s="36"/>
      <c r="F8" s="36">
        <v>27564.337</v>
      </c>
      <c r="G8" s="36"/>
      <c r="H8" s="36">
        <v>43381.244</v>
      </c>
      <c r="I8" s="36"/>
      <c r="J8" s="36">
        <v>64991.74</v>
      </c>
      <c r="K8" s="36"/>
      <c r="L8" s="36"/>
      <c r="M8" s="36"/>
      <c r="N8" s="36">
        <v>51873.188</v>
      </c>
      <c r="O8" s="36"/>
      <c r="P8" s="36">
        <v>5434.78</v>
      </c>
      <c r="Q8" s="36"/>
      <c r="R8" s="36">
        <v>46438.408</v>
      </c>
      <c r="S8" s="36"/>
      <c r="T8" s="36">
        <v>26633.559</v>
      </c>
      <c r="U8" s="36"/>
      <c r="V8" s="36">
        <v>12774.037</v>
      </c>
      <c r="W8" s="36"/>
      <c r="X8" s="36">
        <v>4869.311</v>
      </c>
      <c r="Y8" s="36"/>
      <c r="Z8" s="36">
        <v>82678.003</v>
      </c>
      <c r="AA8" s="36"/>
      <c r="AB8" s="36"/>
      <c r="AC8" s="36"/>
      <c r="AD8" s="36"/>
      <c r="AE8" s="36"/>
      <c r="AF8" s="36"/>
      <c r="AG8" s="36"/>
      <c r="AH8" s="36"/>
      <c r="AI8" s="36"/>
      <c r="AJ8" s="36">
        <v>283977.699</v>
      </c>
      <c r="AK8" s="36">
        <v>-4.6</v>
      </c>
      <c r="AL8" s="36">
        <v>91728.232</v>
      </c>
      <c r="AM8" s="36"/>
      <c r="AN8" s="36">
        <v>37844.359</v>
      </c>
      <c r="AO8" s="36"/>
      <c r="AP8" s="36">
        <v>53651.024</v>
      </c>
      <c r="AQ8" s="36"/>
      <c r="AR8" s="36">
        <v>45553.542</v>
      </c>
      <c r="AS8" s="36"/>
      <c r="AT8" s="36">
        <v>8097.482</v>
      </c>
      <c r="AU8" s="36"/>
      <c r="AV8" s="36">
        <v>100754.084</v>
      </c>
      <c r="AW8" s="36"/>
      <c r="AX8" s="36"/>
      <c r="AY8" s="36"/>
      <c r="AZ8" s="36">
        <v>215013.888</v>
      </c>
      <c r="BA8" s="36"/>
      <c r="BB8" s="36">
        <v>12206.375</v>
      </c>
      <c r="BC8" s="36"/>
      <c r="BD8" s="36">
        <v>202849.75</v>
      </c>
      <c r="BE8" s="36"/>
      <c r="BF8" s="36">
        <v>79662.793</v>
      </c>
      <c r="BG8" s="36"/>
      <c r="BH8" s="36">
        <v>123186.957</v>
      </c>
      <c r="BI8" s="36"/>
      <c r="BJ8" s="36">
        <v>1507238.405</v>
      </c>
      <c r="BK8" s="36">
        <v>-0.2</v>
      </c>
      <c r="BL8" s="36">
        <v>1445796.326</v>
      </c>
      <c r="BM8" s="36"/>
      <c r="BN8" s="36">
        <v>71888.765</v>
      </c>
      <c r="BO8" s="36"/>
      <c r="BP8" s="36">
        <v>602360.451</v>
      </c>
      <c r="BQ8" s="36"/>
      <c r="BR8" s="36">
        <v>550029.988</v>
      </c>
      <c r="BS8" s="36"/>
      <c r="BT8" s="36">
        <v>221517.122</v>
      </c>
      <c r="BU8" s="36"/>
      <c r="BV8" s="36">
        <v>61442.079</v>
      </c>
      <c r="BW8" s="36"/>
      <c r="BX8" s="36">
        <v>293650.494</v>
      </c>
      <c r="BY8" s="36">
        <v>2.5</v>
      </c>
      <c r="BZ8" s="36"/>
      <c r="CA8" s="36"/>
      <c r="CB8" s="36">
        <v>4434070.18</v>
      </c>
      <c r="CC8" s="36"/>
      <c r="CD8" s="36">
        <v>137518.278</v>
      </c>
      <c r="CE8" s="36"/>
      <c r="CF8" s="36">
        <v>910454.89</v>
      </c>
      <c r="CG8" s="36">
        <v>3.8</v>
      </c>
      <c r="CH8" s="36">
        <v>563542.474</v>
      </c>
      <c r="CI8" s="36"/>
      <c r="CJ8" s="36">
        <v>41933.241</v>
      </c>
      <c r="CK8" s="36"/>
      <c r="CL8" s="36">
        <v>104.891</v>
      </c>
      <c r="CM8" s="36"/>
      <c r="CN8" s="36">
        <v>304874.284</v>
      </c>
      <c r="CO8" s="36"/>
      <c r="CP8" s="36">
        <v>63239.895</v>
      </c>
      <c r="CQ8" s="36">
        <v>16.3</v>
      </c>
      <c r="CR8" s="36">
        <v>2845525.356</v>
      </c>
      <c r="CS8" s="36"/>
      <c r="CT8" s="36">
        <v>141918.078</v>
      </c>
      <c r="CU8" s="36">
        <v>2.8</v>
      </c>
      <c r="CV8" s="36">
        <v>1889329.495</v>
      </c>
      <c r="CW8" s="36">
        <v>0.5</v>
      </c>
      <c r="CX8" s="36">
        <v>143687.936</v>
      </c>
      <c r="CY8" s="36"/>
      <c r="CZ8" s="36">
        <v>5638.183</v>
      </c>
      <c r="DA8" s="36"/>
      <c r="DB8" s="36">
        <v>664951.664</v>
      </c>
      <c r="DC8" s="36"/>
      <c r="DD8" s="36">
        <v>477331.761</v>
      </c>
      <c r="DE8" s="36"/>
      <c r="DF8" s="36">
        <v>7273877.562</v>
      </c>
      <c r="DG8" s="36">
        <v>1.5</v>
      </c>
    </row>
    <row r="9" ht="18" spans="1:114">
      <c r="A9" s="20" t="s">
        <v>356</v>
      </c>
      <c r="B9" s="36">
        <v>310084.314</v>
      </c>
      <c r="C9" s="36">
        <v>5.1</v>
      </c>
      <c r="D9" s="36">
        <v>11400.696</v>
      </c>
      <c r="E9" s="36"/>
      <c r="F9" s="36">
        <v>23510.864</v>
      </c>
      <c r="G9" s="36"/>
      <c r="H9" s="36">
        <v>38669.503</v>
      </c>
      <c r="I9" s="36"/>
      <c r="J9" s="36">
        <v>58615.268</v>
      </c>
      <c r="K9" s="36"/>
      <c r="L9" s="36"/>
      <c r="M9" s="36"/>
      <c r="N9" s="36">
        <v>52345.671</v>
      </c>
      <c r="O9" s="36"/>
      <c r="P9" s="36">
        <v>5375.815</v>
      </c>
      <c r="Q9" s="36"/>
      <c r="R9" s="36">
        <v>46969.856</v>
      </c>
      <c r="S9" s="36"/>
      <c r="T9" s="36">
        <v>27284.712</v>
      </c>
      <c r="U9" s="36"/>
      <c r="V9" s="36">
        <v>12755.422</v>
      </c>
      <c r="W9" s="36"/>
      <c r="X9" s="36">
        <v>4843.162</v>
      </c>
      <c r="Y9" s="36"/>
      <c r="Z9" s="36">
        <v>80659.016</v>
      </c>
      <c r="AA9" s="36"/>
      <c r="AB9" s="36"/>
      <c r="AC9" s="36"/>
      <c r="AD9" s="36"/>
      <c r="AE9" s="36"/>
      <c r="AF9" s="36"/>
      <c r="AG9" s="36"/>
      <c r="AH9" s="36"/>
      <c r="AI9" s="36"/>
      <c r="AJ9" s="36">
        <v>297595.199</v>
      </c>
      <c r="AK9" s="36">
        <v>1.3</v>
      </c>
      <c r="AL9" s="36">
        <v>86832.722</v>
      </c>
      <c r="AM9" s="36"/>
      <c r="AN9" s="36">
        <v>49180.488</v>
      </c>
      <c r="AO9" s="36"/>
      <c r="AP9" s="36">
        <v>54231.535</v>
      </c>
      <c r="AQ9" s="36"/>
      <c r="AR9" s="36">
        <v>45988.494</v>
      </c>
      <c r="AS9" s="36"/>
      <c r="AT9" s="36">
        <v>8243.041</v>
      </c>
      <c r="AU9" s="36"/>
      <c r="AV9" s="36">
        <v>107350.454</v>
      </c>
      <c r="AW9" s="36"/>
      <c r="AX9" s="36"/>
      <c r="AY9" s="36"/>
      <c r="AZ9" s="36">
        <v>184154.223</v>
      </c>
      <c r="BA9" s="36"/>
      <c r="BB9" s="36">
        <v>10682.11</v>
      </c>
      <c r="BC9" s="36"/>
      <c r="BD9" s="36">
        <v>201060.377</v>
      </c>
      <c r="BE9" s="36"/>
      <c r="BF9" s="36">
        <v>68338.829</v>
      </c>
      <c r="BG9" s="36"/>
      <c r="BH9" s="36">
        <v>132721.548</v>
      </c>
      <c r="BI9" s="36"/>
      <c r="BJ9" s="36">
        <v>1509798.757</v>
      </c>
      <c r="BK9" s="36">
        <v>-2.7</v>
      </c>
      <c r="BL9" s="36">
        <v>1446113.92</v>
      </c>
      <c r="BM9" s="36"/>
      <c r="BN9" s="36">
        <v>71552.436</v>
      </c>
      <c r="BO9" s="36"/>
      <c r="BP9" s="36">
        <v>620775.782</v>
      </c>
      <c r="BQ9" s="36"/>
      <c r="BR9" s="36">
        <v>547986.927</v>
      </c>
      <c r="BS9" s="36"/>
      <c r="BT9" s="36">
        <v>205798.775</v>
      </c>
      <c r="BU9" s="36"/>
      <c r="BV9" s="36">
        <v>63684.837</v>
      </c>
      <c r="BW9" s="36"/>
      <c r="BX9" s="36">
        <v>286619.036</v>
      </c>
      <c r="BY9" s="36">
        <v>-2.1</v>
      </c>
      <c r="BZ9" s="36"/>
      <c r="CA9" s="36"/>
      <c r="CB9" s="36">
        <v>4364146.521</v>
      </c>
      <c r="CC9" s="36"/>
      <c r="CD9" s="36">
        <v>142179.542</v>
      </c>
      <c r="CE9" s="36"/>
      <c r="CF9" s="36">
        <v>877063.119</v>
      </c>
      <c r="CG9" s="36">
        <v>4.4</v>
      </c>
      <c r="CH9" s="36">
        <v>546405.516</v>
      </c>
      <c r="CI9" s="36"/>
      <c r="CJ9" s="36">
        <v>40406.9</v>
      </c>
      <c r="CK9" s="36"/>
      <c r="CL9" s="36">
        <v>1416.625</v>
      </c>
      <c r="CM9" s="36"/>
      <c r="CN9" s="36">
        <v>288834.078</v>
      </c>
      <c r="CO9" s="36"/>
      <c r="CP9" s="36">
        <v>54380.557</v>
      </c>
      <c r="CQ9" s="36">
        <v>10.6</v>
      </c>
      <c r="CR9" s="36">
        <v>2815936.107</v>
      </c>
      <c r="CS9" s="36"/>
      <c r="CT9" s="36">
        <v>138077.253</v>
      </c>
      <c r="CU9" s="36">
        <v>4</v>
      </c>
      <c r="CV9" s="36">
        <v>1880587.64</v>
      </c>
      <c r="CW9" s="36">
        <v>0.4</v>
      </c>
      <c r="CX9" s="36">
        <v>146279.678</v>
      </c>
      <c r="CY9" s="36"/>
      <c r="CZ9" s="36">
        <v>5624.51</v>
      </c>
      <c r="DA9" s="36"/>
      <c r="DB9" s="36">
        <v>645367.026</v>
      </c>
      <c r="DC9" s="36"/>
      <c r="DD9" s="36">
        <v>474587.196</v>
      </c>
      <c r="DE9" s="36"/>
      <c r="DF9" s="36">
        <v>7164140.537</v>
      </c>
      <c r="DG9" s="36">
        <v>0.8</v>
      </c>
    </row>
    <row r="10" ht="18" spans="1:114">
      <c r="A10" s="20" t="s">
        <v>8</v>
      </c>
      <c r="B10" s="36">
        <v>295132.542</v>
      </c>
      <c r="C10" s="36">
        <v>-0.9</v>
      </c>
      <c r="D10" s="36">
        <v>12543.956</v>
      </c>
      <c r="E10" s="36"/>
      <c r="F10" s="36">
        <v>21597.563</v>
      </c>
      <c r="G10" s="36"/>
      <c r="H10" s="36">
        <v>37385.872</v>
      </c>
      <c r="I10" s="36"/>
      <c r="J10" s="36">
        <v>57264.194</v>
      </c>
      <c r="K10" s="36"/>
      <c r="L10" s="36"/>
      <c r="M10" s="36"/>
      <c r="N10" s="36">
        <v>52623.241</v>
      </c>
      <c r="O10" s="36"/>
      <c r="P10" s="36">
        <v>6571.414</v>
      </c>
      <c r="Q10" s="36"/>
      <c r="R10" s="36">
        <v>46051.827</v>
      </c>
      <c r="S10" s="36"/>
      <c r="T10" s="36">
        <v>23465.175</v>
      </c>
      <c r="U10" s="36"/>
      <c r="V10" s="36">
        <v>13452.56</v>
      </c>
      <c r="W10" s="36"/>
      <c r="X10" s="36">
        <v>4312.302</v>
      </c>
      <c r="Y10" s="36"/>
      <c r="Z10" s="36">
        <v>72487.679</v>
      </c>
      <c r="AA10" s="36"/>
      <c r="AB10" s="36"/>
      <c r="AC10" s="36"/>
      <c r="AD10" s="36"/>
      <c r="AE10" s="36"/>
      <c r="AF10" s="36"/>
      <c r="AG10" s="36"/>
      <c r="AH10" s="36"/>
      <c r="AI10" s="36"/>
      <c r="AJ10" s="36">
        <v>293659.304</v>
      </c>
      <c r="AK10" s="36">
        <v>4.8</v>
      </c>
      <c r="AL10" s="36">
        <v>83948.318</v>
      </c>
      <c r="AM10" s="36"/>
      <c r="AN10" s="36">
        <v>55624.595</v>
      </c>
      <c r="AO10" s="36"/>
      <c r="AP10" s="36">
        <v>55063.993</v>
      </c>
      <c r="AQ10" s="36"/>
      <c r="AR10" s="36">
        <v>46295.807</v>
      </c>
      <c r="AS10" s="36"/>
      <c r="AT10" s="36">
        <v>8768.186</v>
      </c>
      <c r="AU10" s="36"/>
      <c r="AV10" s="36">
        <v>99022.398</v>
      </c>
      <c r="AW10" s="36"/>
      <c r="AX10" s="36"/>
      <c r="AY10" s="36"/>
      <c r="AZ10" s="36">
        <v>190847.019</v>
      </c>
      <c r="BA10" s="36"/>
      <c r="BB10" s="36">
        <v>8431.267</v>
      </c>
      <c r="BC10" s="36"/>
      <c r="BD10" s="36">
        <v>183124.301</v>
      </c>
      <c r="BE10" s="36"/>
      <c r="BF10" s="36">
        <v>65267.46</v>
      </c>
      <c r="BG10" s="36"/>
      <c r="BH10" s="36">
        <v>117856.841</v>
      </c>
      <c r="BI10" s="36"/>
      <c r="BJ10" s="36">
        <v>1552482.093</v>
      </c>
      <c r="BK10" s="36">
        <v>-1.1</v>
      </c>
      <c r="BL10" s="36">
        <v>1488357.512</v>
      </c>
      <c r="BM10" s="36"/>
      <c r="BN10" s="36">
        <v>73944.409</v>
      </c>
      <c r="BO10" s="36"/>
      <c r="BP10" s="36">
        <v>633676.851</v>
      </c>
      <c r="BQ10" s="36"/>
      <c r="BR10" s="36">
        <v>560687.672</v>
      </c>
      <c r="BS10" s="36"/>
      <c r="BT10" s="36">
        <v>220048.58</v>
      </c>
      <c r="BU10" s="36"/>
      <c r="BV10" s="36">
        <v>64124.581</v>
      </c>
      <c r="BW10" s="36"/>
      <c r="BX10" s="36">
        <v>292621.661</v>
      </c>
      <c r="BY10" s="36">
        <v>-1.5</v>
      </c>
      <c r="BZ10" s="36"/>
      <c r="CA10" s="36"/>
      <c r="CB10" s="36">
        <v>4292441.151</v>
      </c>
      <c r="CC10" s="36"/>
      <c r="CD10" s="36">
        <v>132742.938</v>
      </c>
      <c r="CE10" s="36"/>
      <c r="CF10" s="36">
        <v>840262.485</v>
      </c>
      <c r="CG10" s="36">
        <v>1.8</v>
      </c>
      <c r="CH10" s="36">
        <v>510769.509</v>
      </c>
      <c r="CI10" s="36"/>
      <c r="CJ10" s="36">
        <v>36242.792</v>
      </c>
      <c r="CK10" s="36"/>
      <c r="CL10" s="36">
        <v>282.178</v>
      </c>
      <c r="CM10" s="36"/>
      <c r="CN10" s="36">
        <v>292968.006</v>
      </c>
      <c r="CO10" s="36"/>
      <c r="CP10" s="36">
        <v>49168.879</v>
      </c>
      <c r="CQ10" s="36">
        <v>-23.1</v>
      </c>
      <c r="CR10" s="36">
        <v>2795671.762</v>
      </c>
      <c r="CS10" s="36"/>
      <c r="CT10" s="36">
        <v>132720.032</v>
      </c>
      <c r="CU10" s="36">
        <v>0.8</v>
      </c>
      <c r="CV10" s="36">
        <v>1873532.467</v>
      </c>
      <c r="CW10" s="36">
        <v>-0.1</v>
      </c>
      <c r="CX10" s="36">
        <v>154585.216</v>
      </c>
      <c r="CY10" s="36"/>
      <c r="CZ10" s="36">
        <v>5403.246</v>
      </c>
      <c r="DA10" s="36"/>
      <c r="DB10" s="36">
        <v>629430.801</v>
      </c>
      <c r="DC10" s="36"/>
      <c r="DD10" s="36">
        <v>474595.087</v>
      </c>
      <c r="DE10" s="36"/>
      <c r="DF10" s="36">
        <v>7108739.338</v>
      </c>
      <c r="DG10" s="36">
        <v>-0.2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D4" sqref="D4"/>
    </sheetView>
  </sheetViews>
  <sheetFormatPr defaultColWidth="9" defaultRowHeight="16.8" outlineLevelRow="6" outlineLevelCol="6"/>
  <cols>
    <col min="1" max="1" width="19.2857142857143" customWidth="1"/>
    <col min="2" max="4" width="30.2857142857143" customWidth="1"/>
    <col min="7" max="7" width="27" customWidth="1"/>
  </cols>
  <sheetData>
    <row r="1" ht="18" spans="1:7">
      <c r="A1" s="19" t="s">
        <v>319</v>
      </c>
      <c r="B1" s="19" t="s">
        <v>522</v>
      </c>
      <c r="C1" s="19" t="s">
        <v>523</v>
      </c>
      <c r="D1" s="19" t="s">
        <v>524</v>
      </c>
    </row>
    <row r="2" ht="18" spans="1:7">
      <c r="A2" s="20" t="s">
        <v>336</v>
      </c>
      <c r="B2" s="20">
        <v>3993307.028</v>
      </c>
      <c r="C2" s="20">
        <v>269807.861</v>
      </c>
      <c r="D2" s="20">
        <v>4263114.889</v>
      </c>
    </row>
    <row r="3" ht="18" spans="1:7">
      <c r="A3" s="20" t="s">
        <v>339</v>
      </c>
      <c r="B3" s="20">
        <v>3855312.1</v>
      </c>
      <c r="C3" s="20">
        <v>278043.836</v>
      </c>
      <c r="D3" s="20">
        <v>4133355.936</v>
      </c>
    </row>
    <row r="4" ht="18" spans="1:7">
      <c r="A4" s="20" t="s">
        <v>342</v>
      </c>
      <c r="B4" s="20">
        <v>3733130.665</v>
      </c>
      <c r="C4" s="20">
        <v>229720.638</v>
      </c>
      <c r="D4" s="20">
        <v>3962851.303</v>
      </c>
      <c r="G4" s="21"/>
    </row>
    <row r="5" ht="18" spans="1:7">
      <c r="A5" s="20" t="s">
        <v>345</v>
      </c>
      <c r="B5" s="20">
        <v>3751475.047</v>
      </c>
      <c r="C5" s="20">
        <v>214069.507</v>
      </c>
      <c r="D5" s="20">
        <v>3965544.554</v>
      </c>
      <c r="G5" s="21"/>
    </row>
    <row r="6" ht="18" spans="1:7">
      <c r="A6" s="20" t="s">
        <v>348</v>
      </c>
      <c r="B6" s="20">
        <v>3801731.668</v>
      </c>
      <c r="C6" s="20">
        <v>222210.826</v>
      </c>
      <c r="D6" s="20">
        <v>4023942.494</v>
      </c>
      <c r="G6" s="21"/>
    </row>
    <row r="7" spans="1:7">
      <c r="G7" s="21"/>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113"/>
  <sheetViews>
    <sheetView tabSelected="1" workbookViewId="0">
      <pane xSplit="1" ySplit="3" topLeftCell="B42" activePane="bottomRight" state="frozen"/>
      <selection/>
      <selection pane="topRight"/>
      <selection pane="bottomLeft"/>
      <selection pane="bottomRight" activeCell="H48" sqref="H48"/>
    </sheetView>
  </sheetViews>
  <sheetFormatPr defaultColWidth="9" defaultRowHeight="15.2"/>
  <cols>
    <col min="1" max="1" width="10.7142857142857" style="3" customWidth="1"/>
    <col min="2" max="2" width="12.8571428571429" style="3" customWidth="1"/>
    <col min="3" max="3" width="11.1428571428571" style="3" customWidth="1" outlineLevel="1"/>
    <col min="4" max="4" width="10.7142857142857" style="3" customWidth="1" outlineLevel="1"/>
    <col min="5" max="7" width="10.7142857142857" style="3" customWidth="1"/>
    <col min="8" max="8" width="13.2857142857143" style="3" customWidth="1"/>
    <col min="9" max="11" width="10.7142857142857" style="4" customWidth="1"/>
    <col min="12" max="12" width="9.14285714285714" style="4"/>
    <col min="13" max="14" width="3.28571428571429" style="4" customWidth="1"/>
    <col min="15" max="18" width="9.14285714285714" style="4"/>
    <col min="19" max="19" width="5.85714285714286" style="4" customWidth="1"/>
    <col min="20" max="256" width="9.14285714285714" style="4"/>
    <col min="257" max="257" width="10.7142857142857" style="4" customWidth="1"/>
    <col min="258" max="258" width="12.8571428571429" style="4" customWidth="1"/>
    <col min="259" max="259" width="11.1428571428571" style="4" customWidth="1"/>
    <col min="260" max="263" width="10.7142857142857" style="4" customWidth="1"/>
    <col min="264" max="264" width="13.2857142857143" style="4" customWidth="1"/>
    <col min="265" max="267" width="10.7142857142857" style="4" customWidth="1"/>
    <col min="268" max="268" width="9.14285714285714" style="4"/>
    <col min="269" max="270" width="3.28571428571429" style="4" customWidth="1"/>
    <col min="271" max="274" width="9.14285714285714" style="4"/>
    <col min="275" max="275" width="5.85714285714286" style="4" customWidth="1"/>
    <col min="276" max="512" width="9.14285714285714" style="4"/>
    <col min="513" max="513" width="10.7142857142857" style="4" customWidth="1"/>
    <col min="514" max="514" width="12.8571428571429" style="4" customWidth="1"/>
    <col min="515" max="515" width="11.1428571428571" style="4" customWidth="1"/>
    <col min="516" max="519" width="10.7142857142857" style="4" customWidth="1"/>
    <col min="520" max="520" width="13.2857142857143" style="4" customWidth="1"/>
    <col min="521" max="523" width="10.7142857142857" style="4" customWidth="1"/>
    <col min="524" max="524" width="9.14285714285714" style="4"/>
    <col min="525" max="526" width="3.28571428571429" style="4" customWidth="1"/>
    <col min="527" max="530" width="9.14285714285714" style="4"/>
    <col min="531" max="531" width="5.85714285714286" style="4" customWidth="1"/>
    <col min="532" max="768" width="9.14285714285714" style="4"/>
    <col min="769" max="769" width="10.7142857142857" style="4" customWidth="1"/>
    <col min="770" max="770" width="12.8571428571429" style="4" customWidth="1"/>
    <col min="771" max="771" width="11.1428571428571" style="4" customWidth="1"/>
    <col min="772" max="775" width="10.7142857142857" style="4" customWidth="1"/>
    <col min="776" max="776" width="13.2857142857143" style="4" customWidth="1"/>
    <col min="777" max="779" width="10.7142857142857" style="4" customWidth="1"/>
    <col min="780" max="780" width="9.14285714285714" style="4"/>
    <col min="781" max="782" width="3.28571428571429" style="4" customWidth="1"/>
    <col min="783" max="786" width="9.14285714285714" style="4"/>
    <col min="787" max="787" width="5.85714285714286" style="4" customWidth="1"/>
    <col min="788" max="1024" width="9.14285714285714" style="4"/>
    <col min="1025" max="1025" width="10.7142857142857" style="4" customWidth="1"/>
    <col min="1026" max="1026" width="12.8571428571429" style="4" customWidth="1"/>
    <col min="1027" max="1027" width="11.1428571428571" style="4" customWidth="1"/>
    <col min="1028" max="1031" width="10.7142857142857" style="4" customWidth="1"/>
    <col min="1032" max="1032" width="13.2857142857143" style="4" customWidth="1"/>
    <col min="1033" max="1035" width="10.7142857142857" style="4" customWidth="1"/>
    <col min="1036" max="1036" width="9.14285714285714" style="4"/>
    <col min="1037" max="1038" width="3.28571428571429" style="4" customWidth="1"/>
    <col min="1039" max="1042" width="9.14285714285714" style="4"/>
    <col min="1043" max="1043" width="5.85714285714286" style="4" customWidth="1"/>
    <col min="1044" max="1280" width="9.14285714285714" style="4"/>
    <col min="1281" max="1281" width="10.7142857142857" style="4" customWidth="1"/>
    <col min="1282" max="1282" width="12.8571428571429" style="4" customWidth="1"/>
    <col min="1283" max="1283" width="11.1428571428571" style="4" customWidth="1"/>
    <col min="1284" max="1287" width="10.7142857142857" style="4" customWidth="1"/>
    <col min="1288" max="1288" width="13.2857142857143" style="4" customWidth="1"/>
    <col min="1289" max="1291" width="10.7142857142857" style="4" customWidth="1"/>
    <col min="1292" max="1292" width="9.14285714285714" style="4"/>
    <col min="1293" max="1294" width="3.28571428571429" style="4" customWidth="1"/>
    <col min="1295" max="1298" width="9.14285714285714" style="4"/>
    <col min="1299" max="1299" width="5.85714285714286" style="4" customWidth="1"/>
    <col min="1300" max="1536" width="9.14285714285714" style="4"/>
    <col min="1537" max="1537" width="10.7142857142857" style="4" customWidth="1"/>
    <col min="1538" max="1538" width="12.8571428571429" style="4" customWidth="1"/>
    <col min="1539" max="1539" width="11.1428571428571" style="4" customWidth="1"/>
    <col min="1540" max="1543" width="10.7142857142857" style="4" customWidth="1"/>
    <col min="1544" max="1544" width="13.2857142857143" style="4" customWidth="1"/>
    <col min="1545" max="1547" width="10.7142857142857" style="4" customWidth="1"/>
    <col min="1548" max="1548" width="9.14285714285714" style="4"/>
    <col min="1549" max="1550" width="3.28571428571429" style="4" customWidth="1"/>
    <col min="1551" max="1554" width="9.14285714285714" style="4"/>
    <col min="1555" max="1555" width="5.85714285714286" style="4" customWidth="1"/>
    <col min="1556" max="1792" width="9.14285714285714" style="4"/>
    <col min="1793" max="1793" width="10.7142857142857" style="4" customWidth="1"/>
    <col min="1794" max="1794" width="12.8571428571429" style="4" customWidth="1"/>
    <col min="1795" max="1795" width="11.1428571428571" style="4" customWidth="1"/>
    <col min="1796" max="1799" width="10.7142857142857" style="4" customWidth="1"/>
    <col min="1800" max="1800" width="13.2857142857143" style="4" customWidth="1"/>
    <col min="1801" max="1803" width="10.7142857142857" style="4" customWidth="1"/>
    <col min="1804" max="1804" width="9.14285714285714" style="4"/>
    <col min="1805" max="1806" width="3.28571428571429" style="4" customWidth="1"/>
    <col min="1807" max="1810" width="9.14285714285714" style="4"/>
    <col min="1811" max="1811" width="5.85714285714286" style="4" customWidth="1"/>
    <col min="1812" max="2048" width="9.14285714285714" style="4"/>
    <col min="2049" max="2049" width="10.7142857142857" style="4" customWidth="1"/>
    <col min="2050" max="2050" width="12.8571428571429" style="4" customWidth="1"/>
    <col min="2051" max="2051" width="11.1428571428571" style="4" customWidth="1"/>
    <col min="2052" max="2055" width="10.7142857142857" style="4" customWidth="1"/>
    <col min="2056" max="2056" width="13.2857142857143" style="4" customWidth="1"/>
    <col min="2057" max="2059" width="10.7142857142857" style="4" customWidth="1"/>
    <col min="2060" max="2060" width="9.14285714285714" style="4"/>
    <col min="2061" max="2062" width="3.28571428571429" style="4" customWidth="1"/>
    <col min="2063" max="2066" width="9.14285714285714" style="4"/>
    <col min="2067" max="2067" width="5.85714285714286" style="4" customWidth="1"/>
    <col min="2068" max="2304" width="9.14285714285714" style="4"/>
    <col min="2305" max="2305" width="10.7142857142857" style="4" customWidth="1"/>
    <col min="2306" max="2306" width="12.8571428571429" style="4" customWidth="1"/>
    <col min="2307" max="2307" width="11.1428571428571" style="4" customWidth="1"/>
    <col min="2308" max="2311" width="10.7142857142857" style="4" customWidth="1"/>
    <col min="2312" max="2312" width="13.2857142857143" style="4" customWidth="1"/>
    <col min="2313" max="2315" width="10.7142857142857" style="4" customWidth="1"/>
    <col min="2316" max="2316" width="9.14285714285714" style="4"/>
    <col min="2317" max="2318" width="3.28571428571429" style="4" customWidth="1"/>
    <col min="2319" max="2322" width="9.14285714285714" style="4"/>
    <col min="2323" max="2323" width="5.85714285714286" style="4" customWidth="1"/>
    <col min="2324" max="2560" width="9.14285714285714" style="4"/>
    <col min="2561" max="2561" width="10.7142857142857" style="4" customWidth="1"/>
    <col min="2562" max="2562" width="12.8571428571429" style="4" customWidth="1"/>
    <col min="2563" max="2563" width="11.1428571428571" style="4" customWidth="1"/>
    <col min="2564" max="2567" width="10.7142857142857" style="4" customWidth="1"/>
    <col min="2568" max="2568" width="13.2857142857143" style="4" customWidth="1"/>
    <col min="2569" max="2571" width="10.7142857142857" style="4" customWidth="1"/>
    <col min="2572" max="2572" width="9.14285714285714" style="4"/>
    <col min="2573" max="2574" width="3.28571428571429" style="4" customWidth="1"/>
    <col min="2575" max="2578" width="9.14285714285714" style="4"/>
    <col min="2579" max="2579" width="5.85714285714286" style="4" customWidth="1"/>
    <col min="2580" max="2816" width="9.14285714285714" style="4"/>
    <col min="2817" max="2817" width="10.7142857142857" style="4" customWidth="1"/>
    <col min="2818" max="2818" width="12.8571428571429" style="4" customWidth="1"/>
    <col min="2819" max="2819" width="11.1428571428571" style="4" customWidth="1"/>
    <col min="2820" max="2823" width="10.7142857142857" style="4" customWidth="1"/>
    <col min="2824" max="2824" width="13.2857142857143" style="4" customWidth="1"/>
    <col min="2825" max="2827" width="10.7142857142857" style="4" customWidth="1"/>
    <col min="2828" max="2828" width="9.14285714285714" style="4"/>
    <col min="2829" max="2830" width="3.28571428571429" style="4" customWidth="1"/>
    <col min="2831" max="2834" width="9.14285714285714" style="4"/>
    <col min="2835" max="2835" width="5.85714285714286" style="4" customWidth="1"/>
    <col min="2836" max="3072" width="9.14285714285714" style="4"/>
    <col min="3073" max="3073" width="10.7142857142857" style="4" customWidth="1"/>
    <col min="3074" max="3074" width="12.8571428571429" style="4" customWidth="1"/>
    <col min="3075" max="3075" width="11.1428571428571" style="4" customWidth="1"/>
    <col min="3076" max="3079" width="10.7142857142857" style="4" customWidth="1"/>
    <col min="3080" max="3080" width="13.2857142857143" style="4" customWidth="1"/>
    <col min="3081" max="3083" width="10.7142857142857" style="4" customWidth="1"/>
    <col min="3084" max="3084" width="9.14285714285714" style="4"/>
    <col min="3085" max="3086" width="3.28571428571429" style="4" customWidth="1"/>
    <col min="3087" max="3090" width="9.14285714285714" style="4"/>
    <col min="3091" max="3091" width="5.85714285714286" style="4" customWidth="1"/>
    <col min="3092" max="3328" width="9.14285714285714" style="4"/>
    <col min="3329" max="3329" width="10.7142857142857" style="4" customWidth="1"/>
    <col min="3330" max="3330" width="12.8571428571429" style="4" customWidth="1"/>
    <col min="3331" max="3331" width="11.1428571428571" style="4" customWidth="1"/>
    <col min="3332" max="3335" width="10.7142857142857" style="4" customWidth="1"/>
    <col min="3336" max="3336" width="13.2857142857143" style="4" customWidth="1"/>
    <col min="3337" max="3339" width="10.7142857142857" style="4" customWidth="1"/>
    <col min="3340" max="3340" width="9.14285714285714" style="4"/>
    <col min="3341" max="3342" width="3.28571428571429" style="4" customWidth="1"/>
    <col min="3343" max="3346" width="9.14285714285714" style="4"/>
    <col min="3347" max="3347" width="5.85714285714286" style="4" customWidth="1"/>
    <col min="3348" max="3584" width="9.14285714285714" style="4"/>
    <col min="3585" max="3585" width="10.7142857142857" style="4" customWidth="1"/>
    <col min="3586" max="3586" width="12.8571428571429" style="4" customWidth="1"/>
    <col min="3587" max="3587" width="11.1428571428571" style="4" customWidth="1"/>
    <col min="3588" max="3591" width="10.7142857142857" style="4" customWidth="1"/>
    <col min="3592" max="3592" width="13.2857142857143" style="4" customWidth="1"/>
    <col min="3593" max="3595" width="10.7142857142857" style="4" customWidth="1"/>
    <col min="3596" max="3596" width="9.14285714285714" style="4"/>
    <col min="3597" max="3598" width="3.28571428571429" style="4" customWidth="1"/>
    <col min="3599" max="3602" width="9.14285714285714" style="4"/>
    <col min="3603" max="3603" width="5.85714285714286" style="4" customWidth="1"/>
    <col min="3604" max="3840" width="9.14285714285714" style="4"/>
    <col min="3841" max="3841" width="10.7142857142857" style="4" customWidth="1"/>
    <col min="3842" max="3842" width="12.8571428571429" style="4" customWidth="1"/>
    <col min="3843" max="3843" width="11.1428571428571" style="4" customWidth="1"/>
    <col min="3844" max="3847" width="10.7142857142857" style="4" customWidth="1"/>
    <col min="3848" max="3848" width="13.2857142857143" style="4" customWidth="1"/>
    <col min="3849" max="3851" width="10.7142857142857" style="4" customWidth="1"/>
    <col min="3852" max="3852" width="9.14285714285714" style="4"/>
    <col min="3853" max="3854" width="3.28571428571429" style="4" customWidth="1"/>
    <col min="3855" max="3858" width="9.14285714285714" style="4"/>
    <col min="3859" max="3859" width="5.85714285714286" style="4" customWidth="1"/>
    <col min="3860" max="4096" width="9.14285714285714" style="4"/>
    <col min="4097" max="4097" width="10.7142857142857" style="4" customWidth="1"/>
    <col min="4098" max="4098" width="12.8571428571429" style="4" customWidth="1"/>
    <col min="4099" max="4099" width="11.1428571428571" style="4" customWidth="1"/>
    <col min="4100" max="4103" width="10.7142857142857" style="4" customWidth="1"/>
    <col min="4104" max="4104" width="13.2857142857143" style="4" customWidth="1"/>
    <col min="4105" max="4107" width="10.7142857142857" style="4" customWidth="1"/>
    <col min="4108" max="4108" width="9.14285714285714" style="4"/>
    <col min="4109" max="4110" width="3.28571428571429" style="4" customWidth="1"/>
    <col min="4111" max="4114" width="9.14285714285714" style="4"/>
    <col min="4115" max="4115" width="5.85714285714286" style="4" customWidth="1"/>
    <col min="4116" max="4352" width="9.14285714285714" style="4"/>
    <col min="4353" max="4353" width="10.7142857142857" style="4" customWidth="1"/>
    <col min="4354" max="4354" width="12.8571428571429" style="4" customWidth="1"/>
    <col min="4355" max="4355" width="11.1428571428571" style="4" customWidth="1"/>
    <col min="4356" max="4359" width="10.7142857142857" style="4" customWidth="1"/>
    <col min="4360" max="4360" width="13.2857142857143" style="4" customWidth="1"/>
    <col min="4361" max="4363" width="10.7142857142857" style="4" customWidth="1"/>
    <col min="4364" max="4364" width="9.14285714285714" style="4"/>
    <col min="4365" max="4366" width="3.28571428571429" style="4" customWidth="1"/>
    <col min="4367" max="4370" width="9.14285714285714" style="4"/>
    <col min="4371" max="4371" width="5.85714285714286" style="4" customWidth="1"/>
    <col min="4372" max="4608" width="9.14285714285714" style="4"/>
    <col min="4609" max="4609" width="10.7142857142857" style="4" customWidth="1"/>
    <col min="4610" max="4610" width="12.8571428571429" style="4" customWidth="1"/>
    <col min="4611" max="4611" width="11.1428571428571" style="4" customWidth="1"/>
    <col min="4612" max="4615" width="10.7142857142857" style="4" customWidth="1"/>
    <col min="4616" max="4616" width="13.2857142857143" style="4" customWidth="1"/>
    <col min="4617" max="4619" width="10.7142857142857" style="4" customWidth="1"/>
    <col min="4620" max="4620" width="9.14285714285714" style="4"/>
    <col min="4621" max="4622" width="3.28571428571429" style="4" customWidth="1"/>
    <col min="4623" max="4626" width="9.14285714285714" style="4"/>
    <col min="4627" max="4627" width="5.85714285714286" style="4" customWidth="1"/>
    <col min="4628" max="4864" width="9.14285714285714" style="4"/>
    <col min="4865" max="4865" width="10.7142857142857" style="4" customWidth="1"/>
    <col min="4866" max="4866" width="12.8571428571429" style="4" customWidth="1"/>
    <col min="4867" max="4867" width="11.1428571428571" style="4" customWidth="1"/>
    <col min="4868" max="4871" width="10.7142857142857" style="4" customWidth="1"/>
    <col min="4872" max="4872" width="13.2857142857143" style="4" customWidth="1"/>
    <col min="4873" max="4875" width="10.7142857142857" style="4" customWidth="1"/>
    <col min="4876" max="4876" width="9.14285714285714" style="4"/>
    <col min="4877" max="4878" width="3.28571428571429" style="4" customWidth="1"/>
    <col min="4879" max="4882" width="9.14285714285714" style="4"/>
    <col min="4883" max="4883" width="5.85714285714286" style="4" customWidth="1"/>
    <col min="4884" max="5120" width="9.14285714285714" style="4"/>
    <col min="5121" max="5121" width="10.7142857142857" style="4" customWidth="1"/>
    <col min="5122" max="5122" width="12.8571428571429" style="4" customWidth="1"/>
    <col min="5123" max="5123" width="11.1428571428571" style="4" customWidth="1"/>
    <col min="5124" max="5127" width="10.7142857142857" style="4" customWidth="1"/>
    <col min="5128" max="5128" width="13.2857142857143" style="4" customWidth="1"/>
    <col min="5129" max="5131" width="10.7142857142857" style="4" customWidth="1"/>
    <col min="5132" max="5132" width="9.14285714285714" style="4"/>
    <col min="5133" max="5134" width="3.28571428571429" style="4" customWidth="1"/>
    <col min="5135" max="5138" width="9.14285714285714" style="4"/>
    <col min="5139" max="5139" width="5.85714285714286" style="4" customWidth="1"/>
    <col min="5140" max="5376" width="9.14285714285714" style="4"/>
    <col min="5377" max="5377" width="10.7142857142857" style="4" customWidth="1"/>
    <col min="5378" max="5378" width="12.8571428571429" style="4" customWidth="1"/>
    <col min="5379" max="5379" width="11.1428571428571" style="4" customWidth="1"/>
    <col min="5380" max="5383" width="10.7142857142857" style="4" customWidth="1"/>
    <col min="5384" max="5384" width="13.2857142857143" style="4" customWidth="1"/>
    <col min="5385" max="5387" width="10.7142857142857" style="4" customWidth="1"/>
    <col min="5388" max="5388" width="9.14285714285714" style="4"/>
    <col min="5389" max="5390" width="3.28571428571429" style="4" customWidth="1"/>
    <col min="5391" max="5394" width="9.14285714285714" style="4"/>
    <col min="5395" max="5395" width="5.85714285714286" style="4" customWidth="1"/>
    <col min="5396" max="5632" width="9.14285714285714" style="4"/>
    <col min="5633" max="5633" width="10.7142857142857" style="4" customWidth="1"/>
    <col min="5634" max="5634" width="12.8571428571429" style="4" customWidth="1"/>
    <col min="5635" max="5635" width="11.1428571428571" style="4" customWidth="1"/>
    <col min="5636" max="5639" width="10.7142857142857" style="4" customWidth="1"/>
    <col min="5640" max="5640" width="13.2857142857143" style="4" customWidth="1"/>
    <col min="5641" max="5643" width="10.7142857142857" style="4" customWidth="1"/>
    <col min="5644" max="5644" width="9.14285714285714" style="4"/>
    <col min="5645" max="5646" width="3.28571428571429" style="4" customWidth="1"/>
    <col min="5647" max="5650" width="9.14285714285714" style="4"/>
    <col min="5651" max="5651" width="5.85714285714286" style="4" customWidth="1"/>
    <col min="5652" max="5888" width="9.14285714285714" style="4"/>
    <col min="5889" max="5889" width="10.7142857142857" style="4" customWidth="1"/>
    <col min="5890" max="5890" width="12.8571428571429" style="4" customWidth="1"/>
    <col min="5891" max="5891" width="11.1428571428571" style="4" customWidth="1"/>
    <col min="5892" max="5895" width="10.7142857142857" style="4" customWidth="1"/>
    <col min="5896" max="5896" width="13.2857142857143" style="4" customWidth="1"/>
    <col min="5897" max="5899" width="10.7142857142857" style="4" customWidth="1"/>
    <col min="5900" max="5900" width="9.14285714285714" style="4"/>
    <col min="5901" max="5902" width="3.28571428571429" style="4" customWidth="1"/>
    <col min="5903" max="5906" width="9.14285714285714" style="4"/>
    <col min="5907" max="5907" width="5.85714285714286" style="4" customWidth="1"/>
    <col min="5908" max="6144" width="9.14285714285714" style="4"/>
    <col min="6145" max="6145" width="10.7142857142857" style="4" customWidth="1"/>
    <col min="6146" max="6146" width="12.8571428571429" style="4" customWidth="1"/>
    <col min="6147" max="6147" width="11.1428571428571" style="4" customWidth="1"/>
    <col min="6148" max="6151" width="10.7142857142857" style="4" customWidth="1"/>
    <col min="6152" max="6152" width="13.2857142857143" style="4" customWidth="1"/>
    <col min="6153" max="6155" width="10.7142857142857" style="4" customWidth="1"/>
    <col min="6156" max="6156" width="9.14285714285714" style="4"/>
    <col min="6157" max="6158" width="3.28571428571429" style="4" customWidth="1"/>
    <col min="6159" max="6162" width="9.14285714285714" style="4"/>
    <col min="6163" max="6163" width="5.85714285714286" style="4" customWidth="1"/>
    <col min="6164" max="6400" width="9.14285714285714" style="4"/>
    <col min="6401" max="6401" width="10.7142857142857" style="4" customWidth="1"/>
    <col min="6402" max="6402" width="12.8571428571429" style="4" customWidth="1"/>
    <col min="6403" max="6403" width="11.1428571428571" style="4" customWidth="1"/>
    <col min="6404" max="6407" width="10.7142857142857" style="4" customWidth="1"/>
    <col min="6408" max="6408" width="13.2857142857143" style="4" customWidth="1"/>
    <col min="6409" max="6411" width="10.7142857142857" style="4" customWidth="1"/>
    <col min="6412" max="6412" width="9.14285714285714" style="4"/>
    <col min="6413" max="6414" width="3.28571428571429" style="4" customWidth="1"/>
    <col min="6415" max="6418" width="9.14285714285714" style="4"/>
    <col min="6419" max="6419" width="5.85714285714286" style="4" customWidth="1"/>
    <col min="6420" max="6656" width="9.14285714285714" style="4"/>
    <col min="6657" max="6657" width="10.7142857142857" style="4" customWidth="1"/>
    <col min="6658" max="6658" width="12.8571428571429" style="4" customWidth="1"/>
    <col min="6659" max="6659" width="11.1428571428571" style="4" customWidth="1"/>
    <col min="6660" max="6663" width="10.7142857142857" style="4" customWidth="1"/>
    <col min="6664" max="6664" width="13.2857142857143" style="4" customWidth="1"/>
    <col min="6665" max="6667" width="10.7142857142857" style="4" customWidth="1"/>
    <col min="6668" max="6668" width="9.14285714285714" style="4"/>
    <col min="6669" max="6670" width="3.28571428571429" style="4" customWidth="1"/>
    <col min="6671" max="6674" width="9.14285714285714" style="4"/>
    <col min="6675" max="6675" width="5.85714285714286" style="4" customWidth="1"/>
    <col min="6676" max="6912" width="9.14285714285714" style="4"/>
    <col min="6913" max="6913" width="10.7142857142857" style="4" customWidth="1"/>
    <col min="6914" max="6914" width="12.8571428571429" style="4" customWidth="1"/>
    <col min="6915" max="6915" width="11.1428571428571" style="4" customWidth="1"/>
    <col min="6916" max="6919" width="10.7142857142857" style="4" customWidth="1"/>
    <col min="6920" max="6920" width="13.2857142857143" style="4" customWidth="1"/>
    <col min="6921" max="6923" width="10.7142857142857" style="4" customWidth="1"/>
    <col min="6924" max="6924" width="9.14285714285714" style="4"/>
    <col min="6925" max="6926" width="3.28571428571429" style="4" customWidth="1"/>
    <col min="6927" max="6930" width="9.14285714285714" style="4"/>
    <col min="6931" max="6931" width="5.85714285714286" style="4" customWidth="1"/>
    <col min="6932" max="7168" width="9.14285714285714" style="4"/>
    <col min="7169" max="7169" width="10.7142857142857" style="4" customWidth="1"/>
    <col min="7170" max="7170" width="12.8571428571429" style="4" customWidth="1"/>
    <col min="7171" max="7171" width="11.1428571428571" style="4" customWidth="1"/>
    <col min="7172" max="7175" width="10.7142857142857" style="4" customWidth="1"/>
    <col min="7176" max="7176" width="13.2857142857143" style="4" customWidth="1"/>
    <col min="7177" max="7179" width="10.7142857142857" style="4" customWidth="1"/>
    <col min="7180" max="7180" width="9.14285714285714" style="4"/>
    <col min="7181" max="7182" width="3.28571428571429" style="4" customWidth="1"/>
    <col min="7183" max="7186" width="9.14285714285714" style="4"/>
    <col min="7187" max="7187" width="5.85714285714286" style="4" customWidth="1"/>
    <col min="7188" max="7424" width="9.14285714285714" style="4"/>
    <col min="7425" max="7425" width="10.7142857142857" style="4" customWidth="1"/>
    <col min="7426" max="7426" width="12.8571428571429" style="4" customWidth="1"/>
    <col min="7427" max="7427" width="11.1428571428571" style="4" customWidth="1"/>
    <col min="7428" max="7431" width="10.7142857142857" style="4" customWidth="1"/>
    <col min="7432" max="7432" width="13.2857142857143" style="4" customWidth="1"/>
    <col min="7433" max="7435" width="10.7142857142857" style="4" customWidth="1"/>
    <col min="7436" max="7436" width="9.14285714285714" style="4"/>
    <col min="7437" max="7438" width="3.28571428571429" style="4" customWidth="1"/>
    <col min="7439" max="7442" width="9.14285714285714" style="4"/>
    <col min="7443" max="7443" width="5.85714285714286" style="4" customWidth="1"/>
    <col min="7444" max="7680" width="9.14285714285714" style="4"/>
    <col min="7681" max="7681" width="10.7142857142857" style="4" customWidth="1"/>
    <col min="7682" max="7682" width="12.8571428571429" style="4" customWidth="1"/>
    <col min="7683" max="7683" width="11.1428571428571" style="4" customWidth="1"/>
    <col min="7684" max="7687" width="10.7142857142857" style="4" customWidth="1"/>
    <col min="7688" max="7688" width="13.2857142857143" style="4" customWidth="1"/>
    <col min="7689" max="7691" width="10.7142857142857" style="4" customWidth="1"/>
    <col min="7692" max="7692" width="9.14285714285714" style="4"/>
    <col min="7693" max="7694" width="3.28571428571429" style="4" customWidth="1"/>
    <col min="7695" max="7698" width="9.14285714285714" style="4"/>
    <col min="7699" max="7699" width="5.85714285714286" style="4" customWidth="1"/>
    <col min="7700" max="7936" width="9.14285714285714" style="4"/>
    <col min="7937" max="7937" width="10.7142857142857" style="4" customWidth="1"/>
    <col min="7938" max="7938" width="12.8571428571429" style="4" customWidth="1"/>
    <col min="7939" max="7939" width="11.1428571428571" style="4" customWidth="1"/>
    <col min="7940" max="7943" width="10.7142857142857" style="4" customWidth="1"/>
    <col min="7944" max="7944" width="13.2857142857143" style="4" customWidth="1"/>
    <col min="7945" max="7947" width="10.7142857142857" style="4" customWidth="1"/>
    <col min="7948" max="7948" width="9.14285714285714" style="4"/>
    <col min="7949" max="7950" width="3.28571428571429" style="4" customWidth="1"/>
    <col min="7951" max="7954" width="9.14285714285714" style="4"/>
    <col min="7955" max="7955" width="5.85714285714286" style="4" customWidth="1"/>
    <col min="7956" max="8192" width="9.14285714285714" style="4"/>
    <col min="8193" max="8193" width="10.7142857142857" style="4" customWidth="1"/>
    <col min="8194" max="8194" width="12.8571428571429" style="4" customWidth="1"/>
    <col min="8195" max="8195" width="11.1428571428571" style="4" customWidth="1"/>
    <col min="8196" max="8199" width="10.7142857142857" style="4" customWidth="1"/>
    <col min="8200" max="8200" width="13.2857142857143" style="4" customWidth="1"/>
    <col min="8201" max="8203" width="10.7142857142857" style="4" customWidth="1"/>
    <col min="8204" max="8204" width="9.14285714285714" style="4"/>
    <col min="8205" max="8206" width="3.28571428571429" style="4" customWidth="1"/>
    <col min="8207" max="8210" width="9.14285714285714" style="4"/>
    <col min="8211" max="8211" width="5.85714285714286" style="4" customWidth="1"/>
    <col min="8212" max="8448" width="9.14285714285714" style="4"/>
    <col min="8449" max="8449" width="10.7142857142857" style="4" customWidth="1"/>
    <col min="8450" max="8450" width="12.8571428571429" style="4" customWidth="1"/>
    <col min="8451" max="8451" width="11.1428571428571" style="4" customWidth="1"/>
    <col min="8452" max="8455" width="10.7142857142857" style="4" customWidth="1"/>
    <col min="8456" max="8456" width="13.2857142857143" style="4" customWidth="1"/>
    <col min="8457" max="8459" width="10.7142857142857" style="4" customWidth="1"/>
    <col min="8460" max="8460" width="9.14285714285714" style="4"/>
    <col min="8461" max="8462" width="3.28571428571429" style="4" customWidth="1"/>
    <col min="8463" max="8466" width="9.14285714285714" style="4"/>
    <col min="8467" max="8467" width="5.85714285714286" style="4" customWidth="1"/>
    <col min="8468" max="8704" width="9.14285714285714" style="4"/>
    <col min="8705" max="8705" width="10.7142857142857" style="4" customWidth="1"/>
    <col min="8706" max="8706" width="12.8571428571429" style="4" customWidth="1"/>
    <col min="8707" max="8707" width="11.1428571428571" style="4" customWidth="1"/>
    <col min="8708" max="8711" width="10.7142857142857" style="4" customWidth="1"/>
    <col min="8712" max="8712" width="13.2857142857143" style="4" customWidth="1"/>
    <col min="8713" max="8715" width="10.7142857142857" style="4" customWidth="1"/>
    <col min="8716" max="8716" width="9.14285714285714" style="4"/>
    <col min="8717" max="8718" width="3.28571428571429" style="4" customWidth="1"/>
    <col min="8719" max="8722" width="9.14285714285714" style="4"/>
    <col min="8723" max="8723" width="5.85714285714286" style="4" customWidth="1"/>
    <col min="8724" max="8960" width="9.14285714285714" style="4"/>
    <col min="8961" max="8961" width="10.7142857142857" style="4" customWidth="1"/>
    <col min="8962" max="8962" width="12.8571428571429" style="4" customWidth="1"/>
    <col min="8963" max="8963" width="11.1428571428571" style="4" customWidth="1"/>
    <col min="8964" max="8967" width="10.7142857142857" style="4" customWidth="1"/>
    <col min="8968" max="8968" width="13.2857142857143" style="4" customWidth="1"/>
    <col min="8969" max="8971" width="10.7142857142857" style="4" customWidth="1"/>
    <col min="8972" max="8972" width="9.14285714285714" style="4"/>
    <col min="8973" max="8974" width="3.28571428571429" style="4" customWidth="1"/>
    <col min="8975" max="8978" width="9.14285714285714" style="4"/>
    <col min="8979" max="8979" width="5.85714285714286" style="4" customWidth="1"/>
    <col min="8980" max="9216" width="9.14285714285714" style="4"/>
    <col min="9217" max="9217" width="10.7142857142857" style="4" customWidth="1"/>
    <col min="9218" max="9218" width="12.8571428571429" style="4" customWidth="1"/>
    <col min="9219" max="9219" width="11.1428571428571" style="4" customWidth="1"/>
    <col min="9220" max="9223" width="10.7142857142857" style="4" customWidth="1"/>
    <col min="9224" max="9224" width="13.2857142857143" style="4" customWidth="1"/>
    <col min="9225" max="9227" width="10.7142857142857" style="4" customWidth="1"/>
    <col min="9228" max="9228" width="9.14285714285714" style="4"/>
    <col min="9229" max="9230" width="3.28571428571429" style="4" customWidth="1"/>
    <col min="9231" max="9234" width="9.14285714285714" style="4"/>
    <col min="9235" max="9235" width="5.85714285714286" style="4" customWidth="1"/>
    <col min="9236" max="9472" width="9.14285714285714" style="4"/>
    <col min="9473" max="9473" width="10.7142857142857" style="4" customWidth="1"/>
    <col min="9474" max="9474" width="12.8571428571429" style="4" customWidth="1"/>
    <col min="9475" max="9475" width="11.1428571428571" style="4" customWidth="1"/>
    <col min="9476" max="9479" width="10.7142857142857" style="4" customWidth="1"/>
    <col min="9480" max="9480" width="13.2857142857143" style="4" customWidth="1"/>
    <col min="9481" max="9483" width="10.7142857142857" style="4" customWidth="1"/>
    <col min="9484" max="9484" width="9.14285714285714" style="4"/>
    <col min="9485" max="9486" width="3.28571428571429" style="4" customWidth="1"/>
    <col min="9487" max="9490" width="9.14285714285714" style="4"/>
    <col min="9491" max="9491" width="5.85714285714286" style="4" customWidth="1"/>
    <col min="9492" max="9728" width="9.14285714285714" style="4"/>
    <col min="9729" max="9729" width="10.7142857142857" style="4" customWidth="1"/>
    <col min="9730" max="9730" width="12.8571428571429" style="4" customWidth="1"/>
    <col min="9731" max="9731" width="11.1428571428571" style="4" customWidth="1"/>
    <col min="9732" max="9735" width="10.7142857142857" style="4" customWidth="1"/>
    <col min="9736" max="9736" width="13.2857142857143" style="4" customWidth="1"/>
    <col min="9737" max="9739" width="10.7142857142857" style="4" customWidth="1"/>
    <col min="9740" max="9740" width="9.14285714285714" style="4"/>
    <col min="9741" max="9742" width="3.28571428571429" style="4" customWidth="1"/>
    <col min="9743" max="9746" width="9.14285714285714" style="4"/>
    <col min="9747" max="9747" width="5.85714285714286" style="4" customWidth="1"/>
    <col min="9748" max="9984" width="9.14285714285714" style="4"/>
    <col min="9985" max="9985" width="10.7142857142857" style="4" customWidth="1"/>
    <col min="9986" max="9986" width="12.8571428571429" style="4" customWidth="1"/>
    <col min="9987" max="9987" width="11.1428571428571" style="4" customWidth="1"/>
    <col min="9988" max="9991" width="10.7142857142857" style="4" customWidth="1"/>
    <col min="9992" max="9992" width="13.2857142857143" style="4" customWidth="1"/>
    <col min="9993" max="9995" width="10.7142857142857" style="4" customWidth="1"/>
    <col min="9996" max="9996" width="9.14285714285714" style="4"/>
    <col min="9997" max="9998" width="3.28571428571429" style="4" customWidth="1"/>
    <col min="9999" max="10002" width="9.14285714285714" style="4"/>
    <col min="10003" max="10003" width="5.85714285714286" style="4" customWidth="1"/>
    <col min="10004" max="10240" width="9.14285714285714" style="4"/>
    <col min="10241" max="10241" width="10.7142857142857" style="4" customWidth="1"/>
    <col min="10242" max="10242" width="12.8571428571429" style="4" customWidth="1"/>
    <col min="10243" max="10243" width="11.1428571428571" style="4" customWidth="1"/>
    <col min="10244" max="10247" width="10.7142857142857" style="4" customWidth="1"/>
    <col min="10248" max="10248" width="13.2857142857143" style="4" customWidth="1"/>
    <col min="10249" max="10251" width="10.7142857142857" style="4" customWidth="1"/>
    <col min="10252" max="10252" width="9.14285714285714" style="4"/>
    <col min="10253" max="10254" width="3.28571428571429" style="4" customWidth="1"/>
    <col min="10255" max="10258" width="9.14285714285714" style="4"/>
    <col min="10259" max="10259" width="5.85714285714286" style="4" customWidth="1"/>
    <col min="10260" max="10496" width="9.14285714285714" style="4"/>
    <col min="10497" max="10497" width="10.7142857142857" style="4" customWidth="1"/>
    <col min="10498" max="10498" width="12.8571428571429" style="4" customWidth="1"/>
    <col min="10499" max="10499" width="11.1428571428571" style="4" customWidth="1"/>
    <col min="10500" max="10503" width="10.7142857142857" style="4" customWidth="1"/>
    <col min="10504" max="10504" width="13.2857142857143" style="4" customWidth="1"/>
    <col min="10505" max="10507" width="10.7142857142857" style="4" customWidth="1"/>
    <col min="10508" max="10508" width="9.14285714285714" style="4"/>
    <col min="10509" max="10510" width="3.28571428571429" style="4" customWidth="1"/>
    <col min="10511" max="10514" width="9.14285714285714" style="4"/>
    <col min="10515" max="10515" width="5.85714285714286" style="4" customWidth="1"/>
    <col min="10516" max="10752" width="9.14285714285714" style="4"/>
    <col min="10753" max="10753" width="10.7142857142857" style="4" customWidth="1"/>
    <col min="10754" max="10754" width="12.8571428571429" style="4" customWidth="1"/>
    <col min="10755" max="10755" width="11.1428571428571" style="4" customWidth="1"/>
    <col min="10756" max="10759" width="10.7142857142857" style="4" customWidth="1"/>
    <col min="10760" max="10760" width="13.2857142857143" style="4" customWidth="1"/>
    <col min="10761" max="10763" width="10.7142857142857" style="4" customWidth="1"/>
    <col min="10764" max="10764" width="9.14285714285714" style="4"/>
    <col min="10765" max="10766" width="3.28571428571429" style="4" customWidth="1"/>
    <col min="10767" max="10770" width="9.14285714285714" style="4"/>
    <col min="10771" max="10771" width="5.85714285714286" style="4" customWidth="1"/>
    <col min="10772" max="11008" width="9.14285714285714" style="4"/>
    <col min="11009" max="11009" width="10.7142857142857" style="4" customWidth="1"/>
    <col min="11010" max="11010" width="12.8571428571429" style="4" customWidth="1"/>
    <col min="11011" max="11011" width="11.1428571428571" style="4" customWidth="1"/>
    <col min="11012" max="11015" width="10.7142857142857" style="4" customWidth="1"/>
    <col min="11016" max="11016" width="13.2857142857143" style="4" customWidth="1"/>
    <col min="11017" max="11019" width="10.7142857142857" style="4" customWidth="1"/>
    <col min="11020" max="11020" width="9.14285714285714" style="4"/>
    <col min="11021" max="11022" width="3.28571428571429" style="4" customWidth="1"/>
    <col min="11023" max="11026" width="9.14285714285714" style="4"/>
    <col min="11027" max="11027" width="5.85714285714286" style="4" customWidth="1"/>
    <col min="11028" max="11264" width="9.14285714285714" style="4"/>
    <col min="11265" max="11265" width="10.7142857142857" style="4" customWidth="1"/>
    <col min="11266" max="11266" width="12.8571428571429" style="4" customWidth="1"/>
    <col min="11267" max="11267" width="11.1428571428571" style="4" customWidth="1"/>
    <col min="11268" max="11271" width="10.7142857142857" style="4" customWidth="1"/>
    <col min="11272" max="11272" width="13.2857142857143" style="4" customWidth="1"/>
    <col min="11273" max="11275" width="10.7142857142857" style="4" customWidth="1"/>
    <col min="11276" max="11276" width="9.14285714285714" style="4"/>
    <col min="11277" max="11278" width="3.28571428571429" style="4" customWidth="1"/>
    <col min="11279" max="11282" width="9.14285714285714" style="4"/>
    <col min="11283" max="11283" width="5.85714285714286" style="4" customWidth="1"/>
    <col min="11284" max="11520" width="9.14285714285714" style="4"/>
    <col min="11521" max="11521" width="10.7142857142857" style="4" customWidth="1"/>
    <col min="11522" max="11522" width="12.8571428571429" style="4" customWidth="1"/>
    <col min="11523" max="11523" width="11.1428571428571" style="4" customWidth="1"/>
    <col min="11524" max="11527" width="10.7142857142857" style="4" customWidth="1"/>
    <col min="11528" max="11528" width="13.2857142857143" style="4" customWidth="1"/>
    <col min="11529" max="11531" width="10.7142857142857" style="4" customWidth="1"/>
    <col min="11532" max="11532" width="9.14285714285714" style="4"/>
    <col min="11533" max="11534" width="3.28571428571429" style="4" customWidth="1"/>
    <col min="11535" max="11538" width="9.14285714285714" style="4"/>
    <col min="11539" max="11539" width="5.85714285714286" style="4" customWidth="1"/>
    <col min="11540" max="11776" width="9.14285714285714" style="4"/>
    <col min="11777" max="11777" width="10.7142857142857" style="4" customWidth="1"/>
    <col min="11778" max="11778" width="12.8571428571429" style="4" customWidth="1"/>
    <col min="11779" max="11779" width="11.1428571428571" style="4" customWidth="1"/>
    <col min="11780" max="11783" width="10.7142857142857" style="4" customWidth="1"/>
    <col min="11784" max="11784" width="13.2857142857143" style="4" customWidth="1"/>
    <col min="11785" max="11787" width="10.7142857142857" style="4" customWidth="1"/>
    <col min="11788" max="11788" width="9.14285714285714" style="4"/>
    <col min="11789" max="11790" width="3.28571428571429" style="4" customWidth="1"/>
    <col min="11791" max="11794" width="9.14285714285714" style="4"/>
    <col min="11795" max="11795" width="5.85714285714286" style="4" customWidth="1"/>
    <col min="11796" max="12032" width="9.14285714285714" style="4"/>
    <col min="12033" max="12033" width="10.7142857142857" style="4" customWidth="1"/>
    <col min="12034" max="12034" width="12.8571428571429" style="4" customWidth="1"/>
    <col min="12035" max="12035" width="11.1428571428571" style="4" customWidth="1"/>
    <col min="12036" max="12039" width="10.7142857142857" style="4" customWidth="1"/>
    <col min="12040" max="12040" width="13.2857142857143" style="4" customWidth="1"/>
    <col min="12041" max="12043" width="10.7142857142857" style="4" customWidth="1"/>
    <col min="12044" max="12044" width="9.14285714285714" style="4"/>
    <col min="12045" max="12046" width="3.28571428571429" style="4" customWidth="1"/>
    <col min="12047" max="12050" width="9.14285714285714" style="4"/>
    <col min="12051" max="12051" width="5.85714285714286" style="4" customWidth="1"/>
    <col min="12052" max="12288" width="9.14285714285714" style="4"/>
    <col min="12289" max="12289" width="10.7142857142857" style="4" customWidth="1"/>
    <col min="12290" max="12290" width="12.8571428571429" style="4" customWidth="1"/>
    <col min="12291" max="12291" width="11.1428571428571" style="4" customWidth="1"/>
    <col min="12292" max="12295" width="10.7142857142857" style="4" customWidth="1"/>
    <col min="12296" max="12296" width="13.2857142857143" style="4" customWidth="1"/>
    <col min="12297" max="12299" width="10.7142857142857" style="4" customWidth="1"/>
    <col min="12300" max="12300" width="9.14285714285714" style="4"/>
    <col min="12301" max="12302" width="3.28571428571429" style="4" customWidth="1"/>
    <col min="12303" max="12306" width="9.14285714285714" style="4"/>
    <col min="12307" max="12307" width="5.85714285714286" style="4" customWidth="1"/>
    <col min="12308" max="12544" width="9.14285714285714" style="4"/>
    <col min="12545" max="12545" width="10.7142857142857" style="4" customWidth="1"/>
    <col min="12546" max="12546" width="12.8571428571429" style="4" customWidth="1"/>
    <col min="12547" max="12547" width="11.1428571428571" style="4" customWidth="1"/>
    <col min="12548" max="12551" width="10.7142857142857" style="4" customWidth="1"/>
    <col min="12552" max="12552" width="13.2857142857143" style="4" customWidth="1"/>
    <col min="12553" max="12555" width="10.7142857142857" style="4" customWidth="1"/>
    <col min="12556" max="12556" width="9.14285714285714" style="4"/>
    <col min="12557" max="12558" width="3.28571428571429" style="4" customWidth="1"/>
    <col min="12559" max="12562" width="9.14285714285714" style="4"/>
    <col min="12563" max="12563" width="5.85714285714286" style="4" customWidth="1"/>
    <col min="12564" max="12800" width="9.14285714285714" style="4"/>
    <col min="12801" max="12801" width="10.7142857142857" style="4" customWidth="1"/>
    <col min="12802" max="12802" width="12.8571428571429" style="4" customWidth="1"/>
    <col min="12803" max="12803" width="11.1428571428571" style="4" customWidth="1"/>
    <col min="12804" max="12807" width="10.7142857142857" style="4" customWidth="1"/>
    <col min="12808" max="12808" width="13.2857142857143" style="4" customWidth="1"/>
    <col min="12809" max="12811" width="10.7142857142857" style="4" customWidth="1"/>
    <col min="12812" max="12812" width="9.14285714285714" style="4"/>
    <col min="12813" max="12814" width="3.28571428571429" style="4" customWidth="1"/>
    <col min="12815" max="12818" width="9.14285714285714" style="4"/>
    <col min="12819" max="12819" width="5.85714285714286" style="4" customWidth="1"/>
    <col min="12820" max="13056" width="9.14285714285714" style="4"/>
    <col min="13057" max="13057" width="10.7142857142857" style="4" customWidth="1"/>
    <col min="13058" max="13058" width="12.8571428571429" style="4" customWidth="1"/>
    <col min="13059" max="13059" width="11.1428571428571" style="4" customWidth="1"/>
    <col min="13060" max="13063" width="10.7142857142857" style="4" customWidth="1"/>
    <col min="13064" max="13064" width="13.2857142857143" style="4" customWidth="1"/>
    <col min="13065" max="13067" width="10.7142857142857" style="4" customWidth="1"/>
    <col min="13068" max="13068" width="9.14285714285714" style="4"/>
    <col min="13069" max="13070" width="3.28571428571429" style="4" customWidth="1"/>
    <col min="13071" max="13074" width="9.14285714285714" style="4"/>
    <col min="13075" max="13075" width="5.85714285714286" style="4" customWidth="1"/>
    <col min="13076" max="13312" width="9.14285714285714" style="4"/>
    <col min="13313" max="13313" width="10.7142857142857" style="4" customWidth="1"/>
    <col min="13314" max="13314" width="12.8571428571429" style="4" customWidth="1"/>
    <col min="13315" max="13315" width="11.1428571428571" style="4" customWidth="1"/>
    <col min="13316" max="13319" width="10.7142857142857" style="4" customWidth="1"/>
    <col min="13320" max="13320" width="13.2857142857143" style="4" customWidth="1"/>
    <col min="13321" max="13323" width="10.7142857142857" style="4" customWidth="1"/>
    <col min="13324" max="13324" width="9.14285714285714" style="4"/>
    <col min="13325" max="13326" width="3.28571428571429" style="4" customWidth="1"/>
    <col min="13327" max="13330" width="9.14285714285714" style="4"/>
    <col min="13331" max="13331" width="5.85714285714286" style="4" customWidth="1"/>
    <col min="13332" max="13568" width="9.14285714285714" style="4"/>
    <col min="13569" max="13569" width="10.7142857142857" style="4" customWidth="1"/>
    <col min="13570" max="13570" width="12.8571428571429" style="4" customWidth="1"/>
    <col min="13571" max="13571" width="11.1428571428571" style="4" customWidth="1"/>
    <col min="13572" max="13575" width="10.7142857142857" style="4" customWidth="1"/>
    <col min="13576" max="13576" width="13.2857142857143" style="4" customWidth="1"/>
    <col min="13577" max="13579" width="10.7142857142857" style="4" customWidth="1"/>
    <col min="13580" max="13580" width="9.14285714285714" style="4"/>
    <col min="13581" max="13582" width="3.28571428571429" style="4" customWidth="1"/>
    <col min="13583" max="13586" width="9.14285714285714" style="4"/>
    <col min="13587" max="13587" width="5.85714285714286" style="4" customWidth="1"/>
    <col min="13588" max="13824" width="9.14285714285714" style="4"/>
    <col min="13825" max="13825" width="10.7142857142857" style="4" customWidth="1"/>
    <col min="13826" max="13826" width="12.8571428571429" style="4" customWidth="1"/>
    <col min="13827" max="13827" width="11.1428571428571" style="4" customWidth="1"/>
    <col min="13828" max="13831" width="10.7142857142857" style="4" customWidth="1"/>
    <col min="13832" max="13832" width="13.2857142857143" style="4" customWidth="1"/>
    <col min="13833" max="13835" width="10.7142857142857" style="4" customWidth="1"/>
    <col min="13836" max="13836" width="9.14285714285714" style="4"/>
    <col min="13837" max="13838" width="3.28571428571429" style="4" customWidth="1"/>
    <col min="13839" max="13842" width="9.14285714285714" style="4"/>
    <col min="13843" max="13843" width="5.85714285714286" style="4" customWidth="1"/>
    <col min="13844" max="14080" width="9.14285714285714" style="4"/>
    <col min="14081" max="14081" width="10.7142857142857" style="4" customWidth="1"/>
    <col min="14082" max="14082" width="12.8571428571429" style="4" customWidth="1"/>
    <col min="14083" max="14083" width="11.1428571428571" style="4" customWidth="1"/>
    <col min="14084" max="14087" width="10.7142857142857" style="4" customWidth="1"/>
    <col min="14088" max="14088" width="13.2857142857143" style="4" customWidth="1"/>
    <col min="14089" max="14091" width="10.7142857142857" style="4" customWidth="1"/>
    <col min="14092" max="14092" width="9.14285714285714" style="4"/>
    <col min="14093" max="14094" width="3.28571428571429" style="4" customWidth="1"/>
    <col min="14095" max="14098" width="9.14285714285714" style="4"/>
    <col min="14099" max="14099" width="5.85714285714286" style="4" customWidth="1"/>
    <col min="14100" max="14336" width="9.14285714285714" style="4"/>
    <col min="14337" max="14337" width="10.7142857142857" style="4" customWidth="1"/>
    <col min="14338" max="14338" width="12.8571428571429" style="4" customWidth="1"/>
    <col min="14339" max="14339" width="11.1428571428571" style="4" customWidth="1"/>
    <col min="14340" max="14343" width="10.7142857142857" style="4" customWidth="1"/>
    <col min="14344" max="14344" width="13.2857142857143" style="4" customWidth="1"/>
    <col min="14345" max="14347" width="10.7142857142857" style="4" customWidth="1"/>
    <col min="14348" max="14348" width="9.14285714285714" style="4"/>
    <col min="14349" max="14350" width="3.28571428571429" style="4" customWidth="1"/>
    <col min="14351" max="14354" width="9.14285714285714" style="4"/>
    <col min="14355" max="14355" width="5.85714285714286" style="4" customWidth="1"/>
    <col min="14356" max="14592" width="9.14285714285714" style="4"/>
    <col min="14593" max="14593" width="10.7142857142857" style="4" customWidth="1"/>
    <col min="14594" max="14594" width="12.8571428571429" style="4" customWidth="1"/>
    <col min="14595" max="14595" width="11.1428571428571" style="4" customWidth="1"/>
    <col min="14596" max="14599" width="10.7142857142857" style="4" customWidth="1"/>
    <col min="14600" max="14600" width="13.2857142857143" style="4" customWidth="1"/>
    <col min="14601" max="14603" width="10.7142857142857" style="4" customWidth="1"/>
    <col min="14604" max="14604" width="9.14285714285714" style="4"/>
    <col min="14605" max="14606" width="3.28571428571429" style="4" customWidth="1"/>
    <col min="14607" max="14610" width="9.14285714285714" style="4"/>
    <col min="14611" max="14611" width="5.85714285714286" style="4" customWidth="1"/>
    <col min="14612" max="14848" width="9.14285714285714" style="4"/>
    <col min="14849" max="14849" width="10.7142857142857" style="4" customWidth="1"/>
    <col min="14850" max="14850" width="12.8571428571429" style="4" customWidth="1"/>
    <col min="14851" max="14851" width="11.1428571428571" style="4" customWidth="1"/>
    <col min="14852" max="14855" width="10.7142857142857" style="4" customWidth="1"/>
    <col min="14856" max="14856" width="13.2857142857143" style="4" customWidth="1"/>
    <col min="14857" max="14859" width="10.7142857142857" style="4" customWidth="1"/>
    <col min="14860" max="14860" width="9.14285714285714" style="4"/>
    <col min="14861" max="14862" width="3.28571428571429" style="4" customWidth="1"/>
    <col min="14863" max="14866" width="9.14285714285714" style="4"/>
    <col min="14867" max="14867" width="5.85714285714286" style="4" customWidth="1"/>
    <col min="14868" max="15104" width="9.14285714285714" style="4"/>
    <col min="15105" max="15105" width="10.7142857142857" style="4" customWidth="1"/>
    <col min="15106" max="15106" width="12.8571428571429" style="4" customWidth="1"/>
    <col min="15107" max="15107" width="11.1428571428571" style="4" customWidth="1"/>
    <col min="15108" max="15111" width="10.7142857142857" style="4" customWidth="1"/>
    <col min="15112" max="15112" width="13.2857142857143" style="4" customWidth="1"/>
    <col min="15113" max="15115" width="10.7142857142857" style="4" customWidth="1"/>
    <col min="15116" max="15116" width="9.14285714285714" style="4"/>
    <col min="15117" max="15118" width="3.28571428571429" style="4" customWidth="1"/>
    <col min="15119" max="15122" width="9.14285714285714" style="4"/>
    <col min="15123" max="15123" width="5.85714285714286" style="4" customWidth="1"/>
    <col min="15124" max="15360" width="9.14285714285714" style="4"/>
    <col min="15361" max="15361" width="10.7142857142857" style="4" customWidth="1"/>
    <col min="15362" max="15362" width="12.8571428571429" style="4" customWidth="1"/>
    <col min="15363" max="15363" width="11.1428571428571" style="4" customWidth="1"/>
    <col min="15364" max="15367" width="10.7142857142857" style="4" customWidth="1"/>
    <col min="15368" max="15368" width="13.2857142857143" style="4" customWidth="1"/>
    <col min="15369" max="15371" width="10.7142857142857" style="4" customWidth="1"/>
    <col min="15372" max="15372" width="9.14285714285714" style="4"/>
    <col min="15373" max="15374" width="3.28571428571429" style="4" customWidth="1"/>
    <col min="15375" max="15378" width="9.14285714285714" style="4"/>
    <col min="15379" max="15379" width="5.85714285714286" style="4" customWidth="1"/>
    <col min="15380" max="15616" width="9.14285714285714" style="4"/>
    <col min="15617" max="15617" width="10.7142857142857" style="4" customWidth="1"/>
    <col min="15618" max="15618" width="12.8571428571429" style="4" customWidth="1"/>
    <col min="15619" max="15619" width="11.1428571428571" style="4" customWidth="1"/>
    <col min="15620" max="15623" width="10.7142857142857" style="4" customWidth="1"/>
    <col min="15624" max="15624" width="13.2857142857143" style="4" customWidth="1"/>
    <col min="15625" max="15627" width="10.7142857142857" style="4" customWidth="1"/>
    <col min="15628" max="15628" width="9.14285714285714" style="4"/>
    <col min="15629" max="15630" width="3.28571428571429" style="4" customWidth="1"/>
    <col min="15631" max="15634" width="9.14285714285714" style="4"/>
    <col min="15635" max="15635" width="5.85714285714286" style="4" customWidth="1"/>
    <col min="15636" max="15872" width="9.14285714285714" style="4"/>
    <col min="15873" max="15873" width="10.7142857142857" style="4" customWidth="1"/>
    <col min="15874" max="15874" width="12.8571428571429" style="4" customWidth="1"/>
    <col min="15875" max="15875" width="11.1428571428571" style="4" customWidth="1"/>
    <col min="15876" max="15879" width="10.7142857142857" style="4" customWidth="1"/>
    <col min="15880" max="15880" width="13.2857142857143" style="4" customWidth="1"/>
    <col min="15881" max="15883" width="10.7142857142857" style="4" customWidth="1"/>
    <col min="15884" max="15884" width="9.14285714285714" style="4"/>
    <col min="15885" max="15886" width="3.28571428571429" style="4" customWidth="1"/>
    <col min="15887" max="15890" width="9.14285714285714" style="4"/>
    <col min="15891" max="15891" width="5.85714285714286" style="4" customWidth="1"/>
    <col min="15892" max="16128" width="9.14285714285714" style="4"/>
    <col min="16129" max="16129" width="10.7142857142857" style="4" customWidth="1"/>
    <col min="16130" max="16130" width="12.8571428571429" style="4" customWidth="1"/>
    <col min="16131" max="16131" width="11.1428571428571" style="4" customWidth="1"/>
    <col min="16132" max="16135" width="10.7142857142857" style="4" customWidth="1"/>
    <col min="16136" max="16136" width="13.2857142857143" style="4" customWidth="1"/>
    <col min="16137" max="16139" width="10.7142857142857" style="4" customWidth="1"/>
    <col min="16140" max="16140" width="9.14285714285714" style="4"/>
    <col min="16141" max="16142" width="3.28571428571429" style="4" customWidth="1"/>
    <col min="16143" max="16146" width="9.14285714285714" style="4"/>
    <col min="16147" max="16147" width="5.85714285714286" style="4" customWidth="1"/>
    <col min="16148" max="16384" width="9.14285714285714" style="4"/>
  </cols>
  <sheetData>
    <row r="1" s="1" customFormat="1" ht="61" spans="1:18">
      <c r="A1" s="2"/>
      <c r="B1" s="5" t="s">
        <v>525</v>
      </c>
      <c r="C1" s="5"/>
      <c r="D1" s="5"/>
      <c r="E1" s="5"/>
      <c r="F1" s="5"/>
      <c r="G1" s="5"/>
      <c r="H1" s="5"/>
      <c r="I1" s="5"/>
      <c r="J1" s="5"/>
      <c r="K1" s="5"/>
    </row>
    <row r="2" s="1" customFormat="1" ht="76" spans="1:18">
      <c r="A2" s="2"/>
      <c r="B2" s="2" t="s">
        <v>44</v>
      </c>
      <c r="C2" s="181" t="s">
        <v>136</v>
      </c>
      <c r="D2" s="2" t="s">
        <v>526</v>
      </c>
      <c r="E2" s="2" t="s">
        <v>527</v>
      </c>
      <c r="F2" s="2" t="s">
        <v>152</v>
      </c>
      <c r="G2" s="6" t="s">
        <v>528</v>
      </c>
      <c r="H2" s="2" t="str">
        <f>B2</f>
        <v>Manufacturing</v>
      </c>
      <c r="I2" s="2" t="str">
        <f>E2</f>
        <v>Property lending*</v>
      </c>
      <c r="J2" s="2" t="str">
        <f>F2</f>
        <v>Wholesale and retail trade</v>
      </c>
      <c r="K2" s="2" t="str">
        <f>G2</f>
        <v>Trade financing</v>
      </c>
    </row>
    <row r="3" s="2" customFormat="1" ht="16" spans="1:18">
      <c r="B3" s="2" t="s">
        <v>529</v>
      </c>
      <c r="C3" s="2" t="s">
        <v>529</v>
      </c>
      <c r="D3" s="2" t="s">
        <v>529</v>
      </c>
      <c r="E3" s="2" t="s">
        <v>529</v>
      </c>
      <c r="F3" s="2" t="s">
        <v>529</v>
      </c>
      <c r="G3" s="2" t="s">
        <v>529</v>
      </c>
      <c r="H3" s="2" t="s">
        <v>530</v>
      </c>
      <c r="I3" s="2" t="s">
        <v>530</v>
      </c>
      <c r="J3" s="2" t="s">
        <v>530</v>
      </c>
      <c r="K3" s="2" t="s">
        <v>530</v>
      </c>
    </row>
    <row r="4" outlineLevel="1" spans="1:18">
      <c r="A4" s="3" t="s">
        <v>531</v>
      </c>
      <c r="B4" s="7">
        <v>71673.39</v>
      </c>
      <c r="C4" s="7">
        <v>358382.054</v>
      </c>
      <c r="D4" s="7">
        <v>536875.841</v>
      </c>
      <c r="E4" s="7">
        <f>C4+D4</f>
        <v>895257.895</v>
      </c>
      <c r="F4" s="7">
        <v>102657.128</v>
      </c>
      <c r="G4" s="7">
        <v>92853.878</v>
      </c>
      <c r="H4" s="8">
        <v>-0.9</v>
      </c>
      <c r="I4" s="8">
        <v>-1.96925766322187</v>
      </c>
      <c r="J4" s="8">
        <v>-1.3</v>
      </c>
      <c r="K4" s="8">
        <v>7.5615071911753</v>
      </c>
      <c r="L4" s="9"/>
      <c r="M4" s="9"/>
      <c r="O4" s="9"/>
      <c r="P4" s="9"/>
      <c r="Q4" s="9"/>
      <c r="R4" s="9"/>
    </row>
    <row r="5" outlineLevel="1" spans="1:18">
      <c r="A5" s="3" t="s">
        <v>532</v>
      </c>
      <c r="B5" s="7">
        <v>75192.999</v>
      </c>
      <c r="C5" s="7">
        <v>353365.912</v>
      </c>
      <c r="D5" s="7">
        <v>531083.526</v>
      </c>
      <c r="E5" s="7">
        <f t="shared" ref="E5:E68" si="0">C5+D5</f>
        <v>884449.438</v>
      </c>
      <c r="F5" s="7">
        <v>102114.93</v>
      </c>
      <c r="G5" s="7">
        <v>98610.076</v>
      </c>
      <c r="H5" s="8">
        <v>2.6</v>
      </c>
      <c r="I5" s="8">
        <v>-3.1</v>
      </c>
      <c r="J5" s="8">
        <v>-1.7</v>
      </c>
      <c r="K5" s="8">
        <v>6.5</v>
      </c>
      <c r="L5" s="9"/>
      <c r="M5" s="9"/>
      <c r="O5" s="9"/>
      <c r="P5" s="9"/>
      <c r="Q5" s="9"/>
      <c r="R5" s="9"/>
    </row>
    <row r="6" outlineLevel="1" spans="1:18">
      <c r="A6" s="3" t="s">
        <v>533</v>
      </c>
      <c r="B6" s="7">
        <v>77636.151</v>
      </c>
      <c r="C6" s="7">
        <v>345793.742</v>
      </c>
      <c r="D6" s="7">
        <v>528107.29</v>
      </c>
      <c r="E6" s="7">
        <f t="shared" si="0"/>
        <v>873901.032</v>
      </c>
      <c r="F6" s="7">
        <v>96589.625</v>
      </c>
      <c r="G6" s="7">
        <v>97171.159</v>
      </c>
      <c r="H6" s="8">
        <v>11.3</v>
      </c>
      <c r="I6" s="8">
        <v>-3.2</v>
      </c>
      <c r="J6" s="8">
        <v>-6.2</v>
      </c>
      <c r="K6" s="8">
        <v>3</v>
      </c>
      <c r="L6" s="9"/>
      <c r="M6" s="9"/>
      <c r="O6" s="9"/>
      <c r="P6" s="9"/>
      <c r="Q6" s="9"/>
      <c r="R6" s="9"/>
    </row>
    <row r="7" outlineLevel="1" spans="1:18">
      <c r="A7" s="3" t="s">
        <v>534</v>
      </c>
      <c r="B7" s="7">
        <v>80148.65</v>
      </c>
      <c r="C7" s="7">
        <v>341018.682</v>
      </c>
      <c r="D7" s="7">
        <v>529388.84</v>
      </c>
      <c r="E7" s="7">
        <f t="shared" si="0"/>
        <v>870407.522</v>
      </c>
      <c r="F7" s="7">
        <v>93625.526</v>
      </c>
      <c r="G7" s="7">
        <v>100117.864</v>
      </c>
      <c r="H7" s="10">
        <v>13.5</v>
      </c>
      <c r="I7" s="11">
        <v>-3.5</v>
      </c>
      <c r="J7" s="11">
        <v>-6.7</v>
      </c>
      <c r="K7" s="11">
        <v>10.2</v>
      </c>
      <c r="L7" s="9"/>
      <c r="M7" s="9"/>
      <c r="O7" s="9"/>
      <c r="P7" s="9"/>
      <c r="Q7" s="9"/>
      <c r="R7" s="9"/>
    </row>
    <row r="8" outlineLevel="1" spans="1:18">
      <c r="A8" s="3" t="s">
        <v>535</v>
      </c>
      <c r="B8" s="7">
        <v>84511.672</v>
      </c>
      <c r="C8" s="7">
        <v>338368.817</v>
      </c>
      <c r="D8" s="7">
        <v>532623.385</v>
      </c>
      <c r="E8" s="7">
        <f t="shared" si="0"/>
        <v>870992.202</v>
      </c>
      <c r="F8" s="7">
        <v>97967.415</v>
      </c>
      <c r="G8" s="7">
        <v>106521.754</v>
      </c>
      <c r="H8" s="10">
        <v>17.6</v>
      </c>
      <c r="I8" s="11">
        <v>-2.7</v>
      </c>
      <c r="J8" s="11">
        <v>-6.5</v>
      </c>
      <c r="K8" s="12">
        <f t="shared" ref="K8:K31" si="1">(G8/G4-1)*100</f>
        <v>14.7197686239879</v>
      </c>
      <c r="L8" s="9"/>
      <c r="M8" s="9"/>
      <c r="O8" s="9"/>
      <c r="P8" s="9"/>
      <c r="Q8" s="9"/>
      <c r="R8" s="9"/>
    </row>
    <row r="9" outlineLevel="1" spans="1:18">
      <c r="A9" s="3" t="s">
        <v>532</v>
      </c>
      <c r="B9" s="7">
        <v>91953.276</v>
      </c>
      <c r="C9" s="7">
        <v>344041.841</v>
      </c>
      <c r="D9" s="7">
        <v>531115.275</v>
      </c>
      <c r="E9" s="7">
        <f t="shared" si="0"/>
        <v>875157.116</v>
      </c>
      <c r="F9" s="7">
        <v>98449.582</v>
      </c>
      <c r="G9" s="7">
        <v>122205.92</v>
      </c>
      <c r="H9" s="8">
        <v>21.8</v>
      </c>
      <c r="I9" s="12">
        <v>-1</v>
      </c>
      <c r="J9" s="12">
        <v>-5.8</v>
      </c>
      <c r="K9" s="12">
        <f t="shared" si="1"/>
        <v>23.928431005367</v>
      </c>
      <c r="L9" s="9"/>
      <c r="M9" s="9"/>
      <c r="O9" s="9"/>
      <c r="P9" s="9"/>
      <c r="Q9" s="9"/>
      <c r="R9" s="9"/>
    </row>
    <row r="10" outlineLevel="1" spans="1:18">
      <c r="A10" s="3" t="s">
        <v>533</v>
      </c>
      <c r="B10" s="7">
        <v>93741.476</v>
      </c>
      <c r="C10" s="7">
        <v>343092.554</v>
      </c>
      <c r="D10" s="7">
        <v>530316.22</v>
      </c>
      <c r="E10" s="7">
        <f t="shared" si="0"/>
        <v>873408.774</v>
      </c>
      <c r="F10" s="7">
        <v>98805.567</v>
      </c>
      <c r="G10" s="7">
        <v>128867.948</v>
      </c>
      <c r="H10" s="10">
        <v>23.9</v>
      </c>
      <c r="I10" s="12">
        <v>0</v>
      </c>
      <c r="J10" s="11">
        <v>5.3</v>
      </c>
      <c r="K10" s="12">
        <f t="shared" si="1"/>
        <v>32.6195440356948</v>
      </c>
      <c r="L10" s="9"/>
      <c r="M10" s="9"/>
      <c r="N10" s="9"/>
      <c r="O10" s="9"/>
      <c r="P10" s="9"/>
      <c r="Q10" s="9"/>
      <c r="R10" s="9"/>
    </row>
    <row r="11" outlineLevel="1" spans="1:18">
      <c r="A11" s="3" t="s">
        <v>534</v>
      </c>
      <c r="B11" s="7">
        <v>99322.904</v>
      </c>
      <c r="C11" s="7">
        <v>368828.09</v>
      </c>
      <c r="D11" s="7">
        <v>534188.332</v>
      </c>
      <c r="E11" s="7">
        <f t="shared" si="0"/>
        <v>903016.422</v>
      </c>
      <c r="F11" s="7">
        <v>99190.233</v>
      </c>
      <c r="G11" s="7">
        <v>130109.473</v>
      </c>
      <c r="H11" s="8">
        <v>27.8</v>
      </c>
      <c r="I11" s="11">
        <v>3.8</v>
      </c>
      <c r="J11" s="11">
        <v>9.2</v>
      </c>
      <c r="K11" s="12">
        <f t="shared" si="1"/>
        <v>29.9563013050298</v>
      </c>
      <c r="L11" s="9"/>
      <c r="M11" s="9"/>
      <c r="N11" s="9"/>
      <c r="O11" s="9"/>
      <c r="P11" s="9"/>
      <c r="Q11" s="9"/>
      <c r="R11" s="9"/>
    </row>
    <row r="12" outlineLevel="1" spans="1:18">
      <c r="A12" s="3" t="s">
        <v>536</v>
      </c>
      <c r="B12" s="7">
        <v>109346.712</v>
      </c>
      <c r="C12" s="7">
        <v>385429.219</v>
      </c>
      <c r="D12" s="7">
        <v>539952.953</v>
      </c>
      <c r="E12" s="7">
        <f t="shared" si="0"/>
        <v>925382.172</v>
      </c>
      <c r="F12" s="7">
        <v>97522.661</v>
      </c>
      <c r="G12" s="7">
        <v>133212.901</v>
      </c>
      <c r="H12" s="9">
        <v>31.1</v>
      </c>
      <c r="I12" s="9">
        <v>6.3</v>
      </c>
      <c r="J12" s="9">
        <v>5.9</v>
      </c>
      <c r="K12" s="12">
        <f t="shared" si="1"/>
        <v>25.0569916451057</v>
      </c>
      <c r="L12" s="9"/>
      <c r="M12" s="9"/>
      <c r="N12" s="9"/>
      <c r="O12" s="9"/>
      <c r="P12" s="9"/>
      <c r="Q12" s="9"/>
      <c r="R12" s="9"/>
    </row>
    <row r="13" outlineLevel="1" spans="1:18">
      <c r="A13" s="3" t="s">
        <v>532</v>
      </c>
      <c r="B13" s="7">
        <v>117468.198</v>
      </c>
      <c r="C13" s="7">
        <v>396918.827</v>
      </c>
      <c r="D13" s="7">
        <v>549089.025</v>
      </c>
      <c r="E13" s="7">
        <f t="shared" si="0"/>
        <v>946007.852</v>
      </c>
      <c r="F13" s="7">
        <v>103791.97</v>
      </c>
      <c r="G13" s="7">
        <v>150024.392</v>
      </c>
      <c r="H13" s="9">
        <v>32.8</v>
      </c>
      <c r="I13" s="9">
        <v>8.1</v>
      </c>
      <c r="J13" s="9">
        <v>11.9</v>
      </c>
      <c r="K13" s="12">
        <f t="shared" si="1"/>
        <v>22.7636042509234</v>
      </c>
      <c r="L13" s="9"/>
      <c r="M13" s="9"/>
      <c r="N13" s="9"/>
      <c r="O13" s="9"/>
      <c r="P13" s="9"/>
      <c r="Q13" s="9"/>
      <c r="R13" s="9"/>
    </row>
    <row r="14" outlineLevel="1" spans="1:18">
      <c r="A14" s="3" t="s">
        <v>533</v>
      </c>
      <c r="B14" s="7">
        <v>114553.055</v>
      </c>
      <c r="C14" s="7">
        <v>404826.911</v>
      </c>
      <c r="D14" s="7">
        <v>544758.042</v>
      </c>
      <c r="E14" s="7">
        <f t="shared" si="0"/>
        <v>949584.953</v>
      </c>
      <c r="F14" s="7">
        <v>101925.709</v>
      </c>
      <c r="G14" s="7">
        <v>147225.771</v>
      </c>
      <c r="H14" s="9">
        <v>23.5</v>
      </c>
      <c r="I14" s="9">
        <v>8.9</v>
      </c>
      <c r="J14" s="9">
        <v>3</v>
      </c>
      <c r="K14" s="12">
        <f t="shared" si="1"/>
        <v>14.2454530276217</v>
      </c>
      <c r="L14" s="9"/>
      <c r="M14" s="9"/>
      <c r="N14" s="9"/>
      <c r="O14" s="9"/>
      <c r="P14" s="9"/>
      <c r="Q14" s="9"/>
      <c r="R14" s="9"/>
    </row>
    <row r="15" outlineLevel="1" spans="1:18">
      <c r="A15" s="3" t="s">
        <v>534</v>
      </c>
      <c r="B15" s="7">
        <v>119232.417</v>
      </c>
      <c r="C15" s="7">
        <v>437604.647</v>
      </c>
      <c r="D15" s="7">
        <v>539192.157</v>
      </c>
      <c r="E15" s="7">
        <f t="shared" si="0"/>
        <v>976796.804</v>
      </c>
      <c r="F15" s="7">
        <v>100643.839</v>
      </c>
      <c r="G15" s="7">
        <v>141642.161</v>
      </c>
      <c r="H15" s="9">
        <v>20.4</v>
      </c>
      <c r="I15" s="9">
        <v>8.5</v>
      </c>
      <c r="J15" s="9">
        <v>1.2</v>
      </c>
      <c r="K15" s="12">
        <f t="shared" si="1"/>
        <v>8.86383422673613</v>
      </c>
      <c r="L15" s="9"/>
      <c r="M15" s="9"/>
      <c r="N15" s="9"/>
      <c r="O15" s="9"/>
      <c r="P15" s="9"/>
      <c r="Q15" s="9"/>
      <c r="R15" s="9"/>
    </row>
    <row r="16" outlineLevel="1" spans="1:18">
      <c r="A16" s="3" t="s">
        <v>537</v>
      </c>
      <c r="B16" s="7">
        <v>116917.821</v>
      </c>
      <c r="C16" s="7">
        <v>440887.64</v>
      </c>
      <c r="D16" s="7">
        <v>534529.553</v>
      </c>
      <c r="E16" s="7"/>
      <c r="F16" s="7">
        <v>101565.56</v>
      </c>
      <c r="G16" s="7">
        <v>138252.512</v>
      </c>
      <c r="H16" s="9">
        <v>9.3</v>
      </c>
      <c r="I16" s="9">
        <v>5.6</v>
      </c>
      <c r="J16" s="9">
        <v>2.8</v>
      </c>
      <c r="K16" s="12">
        <f t="shared" si="1"/>
        <v>3.78312532958052</v>
      </c>
      <c r="L16" s="9"/>
      <c r="N16" s="9"/>
      <c r="O16" s="9"/>
      <c r="P16" s="9"/>
      <c r="Q16" s="9"/>
      <c r="R16" s="9"/>
    </row>
    <row r="17" outlineLevel="1" spans="1:18">
      <c r="A17" s="3" t="s">
        <v>532</v>
      </c>
      <c r="B17" s="7">
        <v>120238.312</v>
      </c>
      <c r="C17" s="7">
        <v>466748.113</v>
      </c>
      <c r="D17" s="7">
        <v>532926.987</v>
      </c>
      <c r="E17" s="7">
        <f t="shared" si="0"/>
        <v>999675.1</v>
      </c>
      <c r="F17" s="7">
        <v>104508.046</v>
      </c>
      <c r="G17" s="7">
        <v>152182.144</v>
      </c>
      <c r="H17" s="9">
        <v>2.9</v>
      </c>
      <c r="I17" s="9">
        <v>5.9</v>
      </c>
      <c r="J17" s="9">
        <v>-1</v>
      </c>
      <c r="K17" s="12">
        <f t="shared" si="1"/>
        <v>1.43826745186877</v>
      </c>
      <c r="L17" s="9"/>
      <c r="N17" s="9"/>
      <c r="O17" s="9"/>
      <c r="P17" s="9"/>
      <c r="Q17" s="9"/>
      <c r="R17" s="9"/>
    </row>
    <row r="18" outlineLevel="1" spans="1:18">
      <c r="A18" s="3" t="s">
        <v>533</v>
      </c>
      <c r="B18" s="7">
        <v>107190.291</v>
      </c>
      <c r="C18" s="7">
        <v>463482.61</v>
      </c>
      <c r="D18" s="7">
        <v>531732.447</v>
      </c>
      <c r="E18" s="7">
        <f t="shared" si="0"/>
        <v>995215.057</v>
      </c>
      <c r="F18" s="7">
        <v>103797.9</v>
      </c>
      <c r="G18" s="7">
        <v>159574.489</v>
      </c>
      <c r="H18" s="9">
        <v>-0.3</v>
      </c>
      <c r="I18" s="9">
        <v>5</v>
      </c>
      <c r="J18" s="9">
        <v>1.7</v>
      </c>
      <c r="K18" s="12">
        <f t="shared" si="1"/>
        <v>8.38760627037232</v>
      </c>
      <c r="L18" s="9"/>
      <c r="N18" s="9"/>
      <c r="O18" s="9"/>
      <c r="P18" s="9"/>
      <c r="Q18" s="9"/>
      <c r="R18" s="9"/>
    </row>
    <row r="19" outlineLevel="1" spans="1:18">
      <c r="A19" s="3" t="s">
        <v>534</v>
      </c>
      <c r="B19" s="7">
        <v>103030.499</v>
      </c>
      <c r="C19" s="7">
        <v>481611.571</v>
      </c>
      <c r="D19" s="7">
        <v>535021.671</v>
      </c>
      <c r="E19" s="7">
        <f t="shared" si="0"/>
        <v>1016633.242</v>
      </c>
      <c r="F19" s="7">
        <v>105456.169</v>
      </c>
      <c r="G19" s="7">
        <v>152058.645</v>
      </c>
      <c r="H19" s="9">
        <v>-6.5</v>
      </c>
      <c r="I19" s="9">
        <v>4.3</v>
      </c>
      <c r="J19" s="9">
        <v>5.2</v>
      </c>
      <c r="K19" s="12">
        <f t="shared" si="1"/>
        <v>7.35408435345746</v>
      </c>
      <c r="L19" s="9"/>
      <c r="N19" s="9"/>
      <c r="O19" s="9"/>
      <c r="P19" s="9"/>
      <c r="Q19" s="9"/>
      <c r="R19" s="9"/>
    </row>
    <row r="20" spans="1:18">
      <c r="A20" s="3" t="s">
        <v>538</v>
      </c>
      <c r="B20" s="7">
        <v>106098.804</v>
      </c>
      <c r="C20" s="7">
        <v>486675.944</v>
      </c>
      <c r="D20" s="7">
        <v>536270.855</v>
      </c>
      <c r="E20" s="7">
        <f t="shared" si="0"/>
        <v>1022946.799</v>
      </c>
      <c r="F20" s="7">
        <v>107629.16</v>
      </c>
      <c r="G20" s="7">
        <v>150480.414</v>
      </c>
      <c r="H20" s="9">
        <v>-1.3</v>
      </c>
      <c r="I20" s="9">
        <v>5.2</v>
      </c>
      <c r="J20" s="9">
        <v>6.2</v>
      </c>
      <c r="K20" s="12">
        <f t="shared" si="1"/>
        <v>8.84461470038243</v>
      </c>
      <c r="L20" s="9"/>
      <c r="N20" s="9"/>
      <c r="O20" s="9"/>
      <c r="P20" s="9"/>
      <c r="Q20" s="9"/>
      <c r="R20" s="9"/>
    </row>
    <row r="21" spans="1:18">
      <c r="A21" s="3" t="s">
        <v>532</v>
      </c>
      <c r="B21" s="7">
        <v>113766.06</v>
      </c>
      <c r="C21" s="7">
        <v>516047.062</v>
      </c>
      <c r="D21" s="7">
        <v>542026.963</v>
      </c>
      <c r="E21" s="7">
        <f t="shared" si="0"/>
        <v>1058074.025</v>
      </c>
      <c r="F21" s="7">
        <v>112176.825</v>
      </c>
      <c r="G21" s="7">
        <v>168882.047</v>
      </c>
      <c r="H21" s="9">
        <v>2.3</v>
      </c>
      <c r="I21" s="9">
        <v>6.1</v>
      </c>
      <c r="J21" s="9">
        <v>8.4</v>
      </c>
      <c r="K21" s="12">
        <f t="shared" si="1"/>
        <v>10.9736284172735</v>
      </c>
      <c r="L21" s="9"/>
      <c r="N21" s="9"/>
      <c r="O21" s="9"/>
      <c r="P21" s="9"/>
      <c r="Q21" s="9"/>
      <c r="R21" s="9"/>
    </row>
    <row r="22" spans="1:18">
      <c r="A22" s="3" t="s">
        <v>533</v>
      </c>
      <c r="B22" s="7">
        <v>119344.261</v>
      </c>
      <c r="C22" s="7">
        <v>545597.149</v>
      </c>
      <c r="D22" s="7">
        <v>552004.116</v>
      </c>
      <c r="E22" s="7">
        <f t="shared" si="0"/>
        <v>1097601.265</v>
      </c>
      <c r="F22" s="7">
        <v>113114.663</v>
      </c>
      <c r="G22" s="7">
        <v>175991.211</v>
      </c>
      <c r="H22" s="9">
        <v>13.3</v>
      </c>
      <c r="I22" s="9">
        <v>10.6</v>
      </c>
      <c r="J22" s="9">
        <v>10.1</v>
      </c>
      <c r="K22" s="12">
        <f t="shared" si="1"/>
        <v>10.2878111049442</v>
      </c>
      <c r="L22" s="9"/>
      <c r="N22" s="9"/>
      <c r="O22" s="9"/>
      <c r="P22" s="9"/>
      <c r="Q22" s="9"/>
      <c r="R22" s="9"/>
    </row>
    <row r="23" spans="1:18">
      <c r="A23" s="3" t="s">
        <v>534</v>
      </c>
      <c r="B23" s="7">
        <v>121369.253</v>
      </c>
      <c r="C23" s="7">
        <v>569918.337</v>
      </c>
      <c r="D23" s="7">
        <v>564127.121</v>
      </c>
      <c r="E23" s="7">
        <f t="shared" si="0"/>
        <v>1134045.458</v>
      </c>
      <c r="F23" s="7">
        <v>116244.787</v>
      </c>
      <c r="G23" s="7">
        <v>183134.79</v>
      </c>
      <c r="H23" s="9">
        <v>18.5</v>
      </c>
      <c r="I23" s="9">
        <v>11.7</v>
      </c>
      <c r="J23" s="9">
        <v>10.9</v>
      </c>
      <c r="K23" s="12">
        <f t="shared" si="1"/>
        <v>20.436947205468</v>
      </c>
      <c r="L23" s="9"/>
      <c r="M23" s="13"/>
      <c r="N23" s="9"/>
      <c r="O23" s="9"/>
      <c r="P23" s="9"/>
      <c r="Q23" s="9"/>
      <c r="R23" s="9"/>
    </row>
    <row r="24" spans="1:18">
      <c r="A24" s="3" t="s">
        <v>539</v>
      </c>
      <c r="B24" s="7">
        <v>140875.815</v>
      </c>
      <c r="C24" s="7">
        <v>606378.09</v>
      </c>
      <c r="D24" s="7">
        <v>581002.015</v>
      </c>
      <c r="E24" s="7">
        <f t="shared" si="0"/>
        <v>1187380.105</v>
      </c>
      <c r="F24" s="7">
        <v>135600.017</v>
      </c>
      <c r="G24" s="7">
        <v>198516.488</v>
      </c>
      <c r="H24" s="9">
        <v>32.9</v>
      </c>
      <c r="I24" s="9">
        <v>16.2</v>
      </c>
      <c r="J24" s="9">
        <v>26.9</v>
      </c>
      <c r="K24" s="12">
        <f t="shared" si="1"/>
        <v>31.9218114325496</v>
      </c>
      <c r="L24" s="9"/>
      <c r="M24" s="9"/>
      <c r="N24" s="9"/>
      <c r="O24" s="9"/>
      <c r="P24" s="9"/>
      <c r="Q24" s="9"/>
      <c r="R24" s="9"/>
    </row>
    <row r="25" spans="1:18">
      <c r="A25" s="3" t="s">
        <v>532</v>
      </c>
      <c r="B25" s="7">
        <v>147749.151</v>
      </c>
      <c r="C25" s="7">
        <v>633024.184</v>
      </c>
      <c r="D25" s="7">
        <v>595890.677</v>
      </c>
      <c r="E25" s="7">
        <f t="shared" si="0"/>
        <v>1228914.861</v>
      </c>
      <c r="F25" s="7">
        <v>156894.587</v>
      </c>
      <c r="G25" s="7">
        <v>228655.037</v>
      </c>
      <c r="H25" s="9">
        <v>29.7</v>
      </c>
      <c r="I25" s="9">
        <v>16.3</v>
      </c>
      <c r="J25" s="9">
        <v>40.9</v>
      </c>
      <c r="K25" s="12">
        <f t="shared" si="1"/>
        <v>35.3933357996306</v>
      </c>
      <c r="L25" s="9"/>
      <c r="M25" s="9"/>
      <c r="N25" s="9"/>
      <c r="O25" s="9"/>
      <c r="P25" s="9"/>
      <c r="Q25" s="9"/>
      <c r="R25" s="9"/>
    </row>
    <row r="26" spans="1:18">
      <c r="A26" s="3" t="s">
        <v>533</v>
      </c>
      <c r="B26" s="7">
        <v>154401.279</v>
      </c>
      <c r="C26" s="7">
        <v>662250.217</v>
      </c>
      <c r="D26" s="7">
        <v>602213.644</v>
      </c>
      <c r="E26" s="7">
        <f t="shared" si="0"/>
        <v>1264463.861</v>
      </c>
      <c r="F26" s="7">
        <v>157031.874</v>
      </c>
      <c r="G26" s="7">
        <v>222107.993</v>
      </c>
      <c r="H26" s="9">
        <v>29.4</v>
      </c>
      <c r="I26" s="9">
        <v>15.2</v>
      </c>
      <c r="J26" s="9">
        <v>38.5</v>
      </c>
      <c r="K26" s="12">
        <f t="shared" si="1"/>
        <v>26.2040256089834</v>
      </c>
      <c r="L26" s="9"/>
      <c r="M26" s="9"/>
      <c r="N26" s="9"/>
      <c r="O26" s="9"/>
      <c r="P26" s="9"/>
      <c r="Q26" s="9"/>
      <c r="R26" s="9"/>
    </row>
    <row r="27" spans="1:18">
      <c r="A27" s="3" t="s">
        <v>534</v>
      </c>
      <c r="B27" s="7">
        <v>146617.54</v>
      </c>
      <c r="C27" s="7">
        <v>676214.607</v>
      </c>
      <c r="D27" s="7">
        <v>592980.441</v>
      </c>
      <c r="E27" s="7">
        <f t="shared" si="0"/>
        <v>1269195.048</v>
      </c>
      <c r="F27" s="7">
        <v>152148.257</v>
      </c>
      <c r="G27" s="7">
        <v>186214.487</v>
      </c>
      <c r="H27" s="9">
        <v>20.4</v>
      </c>
      <c r="I27" s="9">
        <v>11.8</v>
      </c>
      <c r="J27" s="9">
        <v>30.4</v>
      </c>
      <c r="K27" s="12">
        <f t="shared" si="1"/>
        <v>1.68165589946072</v>
      </c>
      <c r="L27" s="9"/>
      <c r="M27" s="9"/>
      <c r="N27" s="9"/>
      <c r="O27" s="9"/>
      <c r="P27" s="9"/>
      <c r="Q27" s="9"/>
      <c r="R27" s="9"/>
    </row>
    <row r="28" spans="1:18">
      <c r="A28" s="3" t="s">
        <v>540</v>
      </c>
      <c r="B28" s="7">
        <v>144456.152</v>
      </c>
      <c r="C28" s="7">
        <v>668940.745</v>
      </c>
      <c r="D28" s="7">
        <v>591986.866</v>
      </c>
      <c r="E28" s="7">
        <f t="shared" si="0"/>
        <v>1260927.611</v>
      </c>
      <c r="F28" s="7">
        <v>143817.386</v>
      </c>
      <c r="G28" s="7">
        <v>158035.085</v>
      </c>
      <c r="H28" s="9">
        <v>2.2</v>
      </c>
      <c r="I28" s="9">
        <v>6.1</v>
      </c>
      <c r="J28" s="9">
        <v>5.7</v>
      </c>
      <c r="K28" s="12">
        <f t="shared" si="1"/>
        <v>-20.3919600874664</v>
      </c>
      <c r="L28" s="9"/>
      <c r="M28" s="9"/>
      <c r="N28" s="9"/>
      <c r="O28" s="9"/>
      <c r="P28" s="9"/>
      <c r="Q28" s="9"/>
      <c r="R28" s="9"/>
    </row>
    <row r="29" spans="1:18">
      <c r="A29" s="3" t="s">
        <v>532</v>
      </c>
      <c r="B29" s="7">
        <v>136033.046</v>
      </c>
      <c r="C29" s="7">
        <v>666188.683</v>
      </c>
      <c r="D29" s="7">
        <v>606540.468</v>
      </c>
      <c r="E29" s="7">
        <f t="shared" si="0"/>
        <v>1272729.151</v>
      </c>
      <c r="F29" s="7">
        <v>146517.948</v>
      </c>
      <c r="G29" s="7">
        <v>163231.135</v>
      </c>
      <c r="H29" s="9">
        <v>-8.2</v>
      </c>
      <c r="I29" s="9">
        <v>3.4</v>
      </c>
      <c r="J29" s="9">
        <v>-6.8</v>
      </c>
      <c r="K29" s="12">
        <f t="shared" si="1"/>
        <v>-28.6124910513124</v>
      </c>
      <c r="L29" s="9"/>
      <c r="M29" s="9"/>
      <c r="N29" s="9"/>
      <c r="O29" s="9"/>
      <c r="P29" s="9"/>
      <c r="Q29" s="9"/>
      <c r="R29" s="9"/>
    </row>
    <row r="30" spans="1:18">
      <c r="A30" s="3" t="s">
        <v>533</v>
      </c>
      <c r="B30" s="7">
        <v>138602.741</v>
      </c>
      <c r="C30" s="7">
        <v>652357.497</v>
      </c>
      <c r="D30" s="7">
        <v>631488.622</v>
      </c>
      <c r="E30" s="7">
        <f t="shared" si="0"/>
        <v>1283846.119</v>
      </c>
      <c r="F30" s="7">
        <v>152012.528</v>
      </c>
      <c r="G30" s="7">
        <v>167065.683</v>
      </c>
      <c r="H30" s="9">
        <v>-10.5</v>
      </c>
      <c r="I30" s="9">
        <v>1.4</v>
      </c>
      <c r="J30" s="9">
        <v>-3.3</v>
      </c>
      <c r="K30" s="12">
        <f t="shared" si="1"/>
        <v>-24.7817781145769</v>
      </c>
      <c r="L30" s="9"/>
      <c r="M30" s="9"/>
      <c r="N30" s="9"/>
      <c r="O30" s="9"/>
      <c r="P30" s="9"/>
      <c r="Q30" s="9"/>
      <c r="R30" s="9"/>
    </row>
    <row r="31" spans="1:18">
      <c r="A31" s="3" t="s">
        <v>534</v>
      </c>
      <c r="B31" s="7">
        <v>126588.988</v>
      </c>
      <c r="C31" s="7">
        <v>676521.75</v>
      </c>
      <c r="D31" s="7">
        <v>646506.084</v>
      </c>
      <c r="E31" s="7">
        <f t="shared" si="0"/>
        <v>1323027.834</v>
      </c>
      <c r="F31" s="7">
        <v>150430.936</v>
      </c>
      <c r="G31" s="7">
        <v>174805.2</v>
      </c>
      <c r="H31" s="9">
        <v>-13.7</v>
      </c>
      <c r="I31" s="9">
        <v>4.2</v>
      </c>
      <c r="J31" s="9">
        <v>-1.1</v>
      </c>
      <c r="K31" s="12">
        <f t="shared" si="1"/>
        <v>-6.12695992874067</v>
      </c>
      <c r="L31" s="9"/>
      <c r="M31" s="9"/>
      <c r="N31" s="9"/>
      <c r="O31" s="9"/>
      <c r="P31" s="9"/>
      <c r="Q31" s="9"/>
      <c r="R31" s="9"/>
    </row>
    <row r="32" spans="1:18">
      <c r="A32" s="3" t="s">
        <v>541</v>
      </c>
      <c r="B32" s="7">
        <v>129149.563</v>
      </c>
      <c r="C32" s="7">
        <v>717910.419</v>
      </c>
      <c r="D32" s="7">
        <v>663820.022</v>
      </c>
      <c r="E32" s="7">
        <f t="shared" si="0"/>
        <v>1381730.441</v>
      </c>
      <c r="F32" s="7">
        <v>164408.458</v>
      </c>
      <c r="G32" s="7">
        <v>196059.731</v>
      </c>
      <c r="H32" s="9">
        <v>-10.6</v>
      </c>
      <c r="I32" s="9">
        <v>9.6</v>
      </c>
      <c r="J32" s="9">
        <v>14.3</v>
      </c>
      <c r="K32" s="12">
        <v>24.1</v>
      </c>
      <c r="L32" s="9"/>
      <c r="M32" s="9"/>
      <c r="N32" s="9"/>
      <c r="O32" s="9"/>
      <c r="P32" s="9"/>
      <c r="Q32" s="9"/>
      <c r="R32" s="9"/>
    </row>
    <row r="33" spans="1:23">
      <c r="A33" s="3" t="s">
        <v>532</v>
      </c>
      <c r="B33" s="7">
        <v>141646.905</v>
      </c>
      <c r="C33" s="7">
        <v>758779.493</v>
      </c>
      <c r="D33" s="7">
        <v>683678.192</v>
      </c>
      <c r="E33" s="7">
        <f t="shared" si="0"/>
        <v>1442457.685</v>
      </c>
      <c r="F33" s="7">
        <v>189434.066</v>
      </c>
      <c r="G33" s="7">
        <v>234896.293</v>
      </c>
      <c r="H33" s="9">
        <v>4.1</v>
      </c>
      <c r="I33" s="9">
        <v>13.3</v>
      </c>
      <c r="J33" s="9">
        <v>29.3</v>
      </c>
      <c r="K33" s="12">
        <v>43.9</v>
      </c>
      <c r="L33" s="9"/>
      <c r="M33" s="9"/>
      <c r="N33" s="9"/>
      <c r="O33" s="9"/>
      <c r="P33" s="9"/>
      <c r="Q33" s="9"/>
      <c r="R33" s="9"/>
    </row>
    <row r="34" spans="1:23">
      <c r="A34" s="3" t="s">
        <v>533</v>
      </c>
      <c r="B34" s="7">
        <v>153272.929</v>
      </c>
      <c r="C34" s="7">
        <v>805633.494</v>
      </c>
      <c r="D34" s="7">
        <v>723441.506</v>
      </c>
      <c r="E34" s="7">
        <f t="shared" si="0"/>
        <v>1529075</v>
      </c>
      <c r="F34" s="7">
        <v>215542.616</v>
      </c>
      <c r="G34" s="7">
        <v>256378.535</v>
      </c>
      <c r="H34" s="9">
        <v>10.6</v>
      </c>
      <c r="I34" s="9">
        <v>19.1</v>
      </c>
      <c r="J34" s="9">
        <v>41.8</v>
      </c>
      <c r="K34" s="12">
        <v>53.5</v>
      </c>
      <c r="L34" s="9"/>
      <c r="M34" s="9"/>
      <c r="N34" s="9"/>
      <c r="O34" s="9"/>
      <c r="P34" s="9"/>
      <c r="Q34" s="9"/>
      <c r="R34" s="9"/>
    </row>
    <row r="35" spans="1:23">
      <c r="A35" s="3" t="s">
        <v>534</v>
      </c>
      <c r="B35" s="7">
        <v>162329.056</v>
      </c>
      <c r="C35" s="7">
        <v>815477.04</v>
      </c>
      <c r="D35" s="7">
        <v>745168.946</v>
      </c>
      <c r="E35" s="7">
        <f t="shared" si="0"/>
        <v>1560645.986</v>
      </c>
      <c r="F35" s="7">
        <v>229419.499</v>
      </c>
      <c r="G35" s="7">
        <v>273932.504</v>
      </c>
      <c r="H35" s="9">
        <v>28.2</v>
      </c>
      <c r="I35" s="9">
        <v>18</v>
      </c>
      <c r="J35" s="9">
        <v>52.5</v>
      </c>
      <c r="K35" s="12">
        <v>56.7</v>
      </c>
      <c r="L35" s="9"/>
      <c r="M35" s="9"/>
      <c r="N35" s="9"/>
      <c r="O35" s="9"/>
      <c r="P35" s="9"/>
      <c r="Q35" s="9"/>
      <c r="R35" s="9"/>
    </row>
    <row r="36" spans="1:23">
      <c r="A36" s="3" t="s">
        <v>542</v>
      </c>
      <c r="B36" s="7">
        <v>174412.966</v>
      </c>
      <c r="C36" s="7">
        <v>848777.178</v>
      </c>
      <c r="D36" s="7">
        <v>765735.246</v>
      </c>
      <c r="E36" s="7">
        <f t="shared" si="0"/>
        <v>1614512.424</v>
      </c>
      <c r="F36" s="7">
        <v>268498.329</v>
      </c>
      <c r="G36" s="7">
        <v>309496.47</v>
      </c>
      <c r="H36" s="9">
        <v>35</v>
      </c>
      <c r="I36" s="9">
        <v>16.8</v>
      </c>
      <c r="J36" s="9">
        <v>63.3</v>
      </c>
      <c r="K36" s="12">
        <v>57.9</v>
      </c>
      <c r="L36" s="9"/>
      <c r="M36" s="9"/>
      <c r="N36" s="9"/>
      <c r="O36" s="9"/>
      <c r="P36" s="9"/>
      <c r="Q36" s="9"/>
      <c r="R36" s="9"/>
      <c r="S36" s="13"/>
      <c r="T36" s="13"/>
      <c r="U36" s="13"/>
    </row>
    <row r="37" spans="1:23">
      <c r="A37" s="3" t="s">
        <v>532</v>
      </c>
      <c r="B37" s="7">
        <v>184628.349</v>
      </c>
      <c r="C37" s="7">
        <v>867714.934</v>
      </c>
      <c r="D37" s="7">
        <v>792109.012</v>
      </c>
      <c r="E37" s="7">
        <f t="shared" si="0"/>
        <v>1659823.946</v>
      </c>
      <c r="F37" s="7">
        <v>312968.75</v>
      </c>
      <c r="G37" s="7">
        <v>345652.181</v>
      </c>
      <c r="H37" s="9">
        <v>30.3</v>
      </c>
      <c r="I37" s="9">
        <v>15.1</v>
      </c>
      <c r="J37" s="9">
        <v>65.2</v>
      </c>
      <c r="K37" s="12">
        <v>47.2</v>
      </c>
      <c r="L37" s="9"/>
      <c r="M37" s="9"/>
      <c r="N37" s="9"/>
      <c r="O37" s="9"/>
      <c r="P37" s="9"/>
      <c r="Q37" s="9"/>
      <c r="R37" s="9"/>
      <c r="S37" s="13"/>
      <c r="T37" s="13"/>
      <c r="U37" s="13"/>
    </row>
    <row r="38" spans="1:23">
      <c r="A38" s="3" t="s">
        <v>533</v>
      </c>
      <c r="B38" s="7">
        <v>192235.708</v>
      </c>
      <c r="C38" s="7">
        <v>892778.437</v>
      </c>
      <c r="D38" s="7">
        <v>802997.867</v>
      </c>
      <c r="E38" s="7">
        <f t="shared" si="0"/>
        <v>1695776.304</v>
      </c>
      <c r="F38" s="7">
        <v>323352.057</v>
      </c>
      <c r="G38" s="7">
        <v>358394.647</v>
      </c>
      <c r="H38" s="9">
        <v>25.4</v>
      </c>
      <c r="I38" s="9">
        <v>10.9</v>
      </c>
      <c r="J38" s="9">
        <v>50</v>
      </c>
      <c r="K38" s="12">
        <v>39.8</v>
      </c>
      <c r="L38" s="9"/>
      <c r="M38" s="9"/>
      <c r="N38" s="9"/>
      <c r="O38" s="9"/>
      <c r="P38" s="9"/>
      <c r="Q38" s="9"/>
      <c r="R38" s="9"/>
      <c r="S38" s="13"/>
      <c r="T38" s="13"/>
      <c r="U38" s="13"/>
    </row>
    <row r="39" spans="1:23">
      <c r="A39" s="3" t="s">
        <v>534</v>
      </c>
      <c r="B39" s="7">
        <v>189425.429</v>
      </c>
      <c r="C39" s="7">
        <v>900567.642</v>
      </c>
      <c r="D39" s="7">
        <v>804625.014</v>
      </c>
      <c r="E39" s="7">
        <f t="shared" si="0"/>
        <v>1705192.656</v>
      </c>
      <c r="F39" s="7">
        <v>313869.683</v>
      </c>
      <c r="G39" s="7">
        <v>350588.977</v>
      </c>
      <c r="H39" s="9">
        <v>16.7</v>
      </c>
      <c r="I39" s="9">
        <v>9.3</v>
      </c>
      <c r="J39" s="9">
        <v>36.8</v>
      </c>
      <c r="K39" s="12">
        <v>28</v>
      </c>
      <c r="L39" s="9"/>
      <c r="M39" s="9"/>
      <c r="N39" s="9"/>
      <c r="O39" s="9"/>
      <c r="P39" s="9"/>
      <c r="Q39" s="9"/>
      <c r="R39" s="9"/>
      <c r="S39" s="13"/>
      <c r="T39" s="13"/>
      <c r="U39" s="13"/>
    </row>
    <row r="40" spans="1:23">
      <c r="A40" s="3" t="s">
        <v>543</v>
      </c>
      <c r="B40" s="7">
        <v>189293.329</v>
      </c>
      <c r="C40" s="7">
        <v>887458.413</v>
      </c>
      <c r="D40" s="7">
        <v>806785.512</v>
      </c>
      <c r="E40" s="7">
        <f t="shared" si="0"/>
        <v>1694243.925</v>
      </c>
      <c r="F40" s="7">
        <v>323062.218</v>
      </c>
      <c r="G40" s="7">
        <v>376021.53</v>
      </c>
      <c r="H40" s="9">
        <v>8.5</v>
      </c>
      <c r="I40" s="9">
        <v>4.9</v>
      </c>
      <c r="J40" s="9">
        <v>20.3</v>
      </c>
      <c r="K40" s="12">
        <v>21.5</v>
      </c>
      <c r="L40" s="9"/>
      <c r="M40" s="9"/>
      <c r="N40" s="9"/>
      <c r="O40" s="9"/>
      <c r="P40" s="9"/>
      <c r="Q40" s="9"/>
      <c r="R40" s="9"/>
      <c r="S40" s="13"/>
      <c r="T40" s="13"/>
      <c r="U40" s="13"/>
    </row>
    <row r="41" spans="1:23">
      <c r="A41" s="3" t="s">
        <v>532</v>
      </c>
      <c r="B41" s="7">
        <v>183977.602</v>
      </c>
      <c r="C41" s="7">
        <v>875868.671</v>
      </c>
      <c r="D41" s="7">
        <v>827564.587</v>
      </c>
      <c r="E41" s="7">
        <f t="shared" si="0"/>
        <v>1703433.258</v>
      </c>
      <c r="F41" s="7">
        <v>332725.46</v>
      </c>
      <c r="G41" s="7">
        <v>394933.362</v>
      </c>
      <c r="H41" s="9">
        <v>-0.4</v>
      </c>
      <c r="I41" s="9">
        <v>2.6</v>
      </c>
      <c r="J41" s="9">
        <v>6.3</v>
      </c>
      <c r="K41" s="12">
        <v>14.3</v>
      </c>
      <c r="L41" s="9"/>
      <c r="M41" s="9"/>
      <c r="N41" s="9"/>
      <c r="O41" s="9"/>
      <c r="P41" s="9"/>
      <c r="Q41" s="9"/>
      <c r="R41" s="9"/>
      <c r="S41" s="13"/>
      <c r="T41" s="13"/>
      <c r="U41" s="13"/>
    </row>
    <row r="42" spans="1:23">
      <c r="A42" s="3" t="s">
        <v>533</v>
      </c>
      <c r="B42" s="7">
        <v>184309.418</v>
      </c>
      <c r="C42" s="7">
        <v>891853.441</v>
      </c>
      <c r="D42" s="7">
        <v>846214.575</v>
      </c>
      <c r="E42" s="7">
        <f t="shared" si="0"/>
        <v>1738068.016</v>
      </c>
      <c r="F42" s="7">
        <v>343732.319</v>
      </c>
      <c r="G42" s="7">
        <v>416907.325</v>
      </c>
      <c r="H42" s="9">
        <v>-4.1</v>
      </c>
      <c r="I42" s="9">
        <v>2.5</v>
      </c>
      <c r="J42" s="9">
        <v>6.3</v>
      </c>
      <c r="K42" s="9">
        <v>16.3</v>
      </c>
      <c r="L42" s="9"/>
      <c r="M42" s="9"/>
      <c r="N42" s="9"/>
      <c r="O42" s="9"/>
      <c r="P42" s="9"/>
      <c r="Q42" s="9"/>
      <c r="R42" s="9"/>
      <c r="S42" s="13"/>
      <c r="T42" s="13"/>
      <c r="U42" s="13"/>
    </row>
    <row r="43" spans="1:23">
      <c r="A43" s="3" t="s">
        <v>534</v>
      </c>
      <c r="B43" s="7">
        <v>183817.199</v>
      </c>
      <c r="C43" s="7">
        <v>906656.849</v>
      </c>
      <c r="D43" s="7">
        <v>872648.354</v>
      </c>
      <c r="E43" s="7">
        <f t="shared" si="0"/>
        <v>1779305.203</v>
      </c>
      <c r="F43" s="7">
        <v>350834.918</v>
      </c>
      <c r="G43" s="7">
        <v>382576.211</v>
      </c>
      <c r="H43" s="9">
        <v>-3</v>
      </c>
      <c r="I43" s="9">
        <v>4.3</v>
      </c>
      <c r="J43" s="9">
        <v>11.8</v>
      </c>
      <c r="K43" s="9">
        <v>9.1</v>
      </c>
      <c r="L43" s="9"/>
      <c r="M43" s="9"/>
      <c r="N43" s="9"/>
      <c r="O43" s="9"/>
      <c r="P43" s="9"/>
      <c r="Q43" s="9"/>
      <c r="R43" s="9"/>
      <c r="S43" s="9"/>
      <c r="T43" s="9"/>
      <c r="U43" s="9"/>
      <c r="V43" s="9"/>
      <c r="W43" s="9"/>
    </row>
    <row r="44" spans="1:23">
      <c r="A44" s="3" t="s">
        <v>544</v>
      </c>
      <c r="B44" s="7">
        <v>188334.913</v>
      </c>
      <c r="C44" s="7">
        <v>900299.385</v>
      </c>
      <c r="D44" s="7">
        <v>888963.596</v>
      </c>
      <c r="E44" s="7">
        <f t="shared" si="0"/>
        <v>1789262.981</v>
      </c>
      <c r="F44" s="7">
        <v>354556.001</v>
      </c>
      <c r="G44" s="7">
        <v>456602.879</v>
      </c>
      <c r="H44" s="9">
        <v>-0.5</v>
      </c>
      <c r="I44" s="9">
        <v>5.6</v>
      </c>
      <c r="J44" s="9">
        <v>9.7</v>
      </c>
      <c r="K44" s="9">
        <v>21.4</v>
      </c>
      <c r="L44" s="9"/>
      <c r="M44" s="9"/>
      <c r="N44" s="9"/>
      <c r="O44" s="9"/>
      <c r="P44" s="9"/>
      <c r="Q44" s="9"/>
      <c r="R44" s="9"/>
      <c r="S44" s="9"/>
      <c r="T44" s="9"/>
      <c r="U44" s="9"/>
      <c r="V44" s="9"/>
      <c r="W44" s="9"/>
    </row>
    <row r="45" spans="1:23">
      <c r="A45" s="3" t="s">
        <v>532</v>
      </c>
      <c r="B45" s="7">
        <v>205806.77</v>
      </c>
      <c r="C45" s="7">
        <v>939652.732</v>
      </c>
      <c r="D45" s="7">
        <v>902185.804</v>
      </c>
      <c r="E45" s="7">
        <f t="shared" si="0"/>
        <v>1841838.536</v>
      </c>
      <c r="F45" s="7">
        <v>385725.475</v>
      </c>
      <c r="G45" s="7">
        <v>565550.674</v>
      </c>
      <c r="H45" s="9">
        <v>11.9</v>
      </c>
      <c r="I45" s="9">
        <v>8.1</v>
      </c>
      <c r="J45" s="9">
        <v>15.9</v>
      </c>
      <c r="K45" s="9">
        <v>43.2</v>
      </c>
      <c r="L45" s="9"/>
      <c r="M45" s="9"/>
      <c r="N45" s="9"/>
      <c r="O45" s="9"/>
      <c r="P45" s="9"/>
      <c r="Q45" s="9"/>
      <c r="R45" s="9"/>
      <c r="S45" s="9"/>
      <c r="T45" s="9"/>
      <c r="U45" s="9"/>
      <c r="V45" s="9"/>
      <c r="W45" s="9"/>
    </row>
    <row r="46" spans="1:23">
      <c r="A46" s="3" t="s">
        <v>533</v>
      </c>
      <c r="B46" s="7">
        <v>214801.934</v>
      </c>
      <c r="C46" s="7">
        <v>979189.151</v>
      </c>
      <c r="D46" s="7">
        <v>905424.014</v>
      </c>
      <c r="E46" s="7">
        <f t="shared" si="0"/>
        <v>1884613.165</v>
      </c>
      <c r="F46" s="7">
        <v>411461.218</v>
      </c>
      <c r="G46" s="7">
        <v>610228.781</v>
      </c>
      <c r="H46" s="9">
        <v>16.5</v>
      </c>
      <c r="I46" s="9">
        <v>8.4</v>
      </c>
      <c r="J46" s="9">
        <v>19.7</v>
      </c>
      <c r="K46" s="9">
        <v>46.4</v>
      </c>
      <c r="L46" s="9"/>
      <c r="M46" s="9"/>
      <c r="N46" s="9"/>
      <c r="O46" s="9"/>
      <c r="P46" s="9"/>
      <c r="Q46" s="9"/>
      <c r="R46" s="9"/>
      <c r="S46" s="9"/>
      <c r="T46" s="9"/>
      <c r="U46" s="9"/>
      <c r="V46" s="9"/>
      <c r="W46" s="9"/>
    </row>
    <row r="47" spans="1:23">
      <c r="A47" s="3" t="s">
        <v>534</v>
      </c>
      <c r="B47" s="7">
        <v>216430.788</v>
      </c>
      <c r="C47" s="7">
        <v>969359.31</v>
      </c>
      <c r="D47" s="7">
        <v>908676.578</v>
      </c>
      <c r="E47" s="7">
        <f t="shared" si="0"/>
        <v>1878035.888</v>
      </c>
      <c r="F47" s="7">
        <v>418183.645</v>
      </c>
      <c r="G47" s="7">
        <v>550209.488</v>
      </c>
      <c r="H47" s="9">
        <v>17.7</v>
      </c>
      <c r="I47" s="9">
        <v>5.5</v>
      </c>
      <c r="J47" s="9">
        <v>19.2</v>
      </c>
      <c r="K47" s="9">
        <v>43.8</v>
      </c>
      <c r="L47" s="9"/>
      <c r="M47" s="9"/>
      <c r="N47" s="9"/>
      <c r="O47" s="9"/>
      <c r="P47" s="9"/>
      <c r="Q47" s="9"/>
      <c r="R47" s="9"/>
      <c r="S47" s="9"/>
      <c r="T47" s="9"/>
      <c r="U47" s="9"/>
      <c r="V47" s="9"/>
      <c r="W47" s="9"/>
    </row>
    <row r="48" spans="1:23">
      <c r="A48" s="3" t="s">
        <v>545</v>
      </c>
      <c r="B48" s="7">
        <v>232373.937</v>
      </c>
      <c r="C48" s="7">
        <v>994519.888</v>
      </c>
      <c r="D48" s="7">
        <v>918316.954</v>
      </c>
      <c r="E48" s="7">
        <f t="shared" si="0"/>
        <v>1912836.842</v>
      </c>
      <c r="F48" s="7">
        <v>441386.778</v>
      </c>
      <c r="G48" s="7">
        <v>618195.123</v>
      </c>
      <c r="H48" s="14">
        <v>23.4</v>
      </c>
      <c r="I48" s="14">
        <v>6.9</v>
      </c>
      <c r="J48" s="14">
        <v>24.5</v>
      </c>
      <c r="K48" s="14">
        <v>35.4</v>
      </c>
      <c r="L48" s="9"/>
      <c r="M48" s="9"/>
      <c r="N48" s="9"/>
      <c r="O48" s="9"/>
      <c r="P48" s="9"/>
      <c r="Q48" s="9"/>
      <c r="R48" s="9"/>
      <c r="S48" s="9"/>
      <c r="T48" s="9"/>
      <c r="U48" s="9"/>
      <c r="V48" s="9"/>
      <c r="W48" s="9"/>
    </row>
    <row r="49" spans="1:23">
      <c r="A49" s="3" t="s">
        <v>532</v>
      </c>
      <c r="B49" s="7">
        <v>247765.549</v>
      </c>
      <c r="C49" s="7">
        <v>1009776.032</v>
      </c>
      <c r="D49" s="7">
        <v>937809.467</v>
      </c>
      <c r="E49" s="7">
        <f t="shared" si="0"/>
        <v>1947585.499</v>
      </c>
      <c r="F49" s="7">
        <v>465171.636</v>
      </c>
      <c r="G49" s="7">
        <v>633102.052</v>
      </c>
      <c r="H49" s="14">
        <v>20.4</v>
      </c>
      <c r="I49" s="14">
        <v>5.7</v>
      </c>
      <c r="J49" s="14">
        <v>20.6</v>
      </c>
      <c r="K49" s="14">
        <v>11.9</v>
      </c>
      <c r="L49" s="9"/>
      <c r="M49" s="9"/>
      <c r="N49" s="9"/>
      <c r="O49" s="9"/>
      <c r="P49" s="9"/>
      <c r="Q49" s="9"/>
      <c r="R49" s="9"/>
      <c r="S49" s="9"/>
      <c r="T49" s="9"/>
      <c r="U49" s="9"/>
      <c r="V49" s="9"/>
      <c r="W49" s="9"/>
    </row>
    <row r="50" spans="1:23">
      <c r="A50" s="3" t="s">
        <v>533</v>
      </c>
      <c r="B50" s="7">
        <v>265639.715</v>
      </c>
      <c r="C50" s="7">
        <v>1017166.548</v>
      </c>
      <c r="D50" s="7">
        <v>960155.414</v>
      </c>
      <c r="E50" s="7">
        <f t="shared" si="0"/>
        <v>1977321.962</v>
      </c>
      <c r="F50" s="7">
        <v>502088.041</v>
      </c>
      <c r="G50" s="7">
        <v>634553.087</v>
      </c>
      <c r="H50" s="14">
        <v>23.7</v>
      </c>
      <c r="I50" s="14">
        <v>4.9</v>
      </c>
      <c r="J50" s="14">
        <v>22</v>
      </c>
      <c r="K50" s="14">
        <v>4</v>
      </c>
      <c r="L50" s="9"/>
      <c r="M50" s="9"/>
      <c r="N50" s="9"/>
      <c r="O50" s="9"/>
      <c r="P50" s="9"/>
      <c r="Q50" s="9"/>
      <c r="R50" s="9"/>
      <c r="S50" s="9"/>
      <c r="T50" s="9"/>
      <c r="U50" s="9"/>
      <c r="V50" s="9"/>
      <c r="W50" s="9"/>
    </row>
    <row r="51" spans="1:23">
      <c r="A51" s="3" t="s">
        <v>534</v>
      </c>
      <c r="B51" s="7">
        <v>265712.248</v>
      </c>
      <c r="C51" s="7">
        <v>1029810.242</v>
      </c>
      <c r="D51" s="7">
        <v>988052.282</v>
      </c>
      <c r="E51" s="7">
        <f t="shared" si="0"/>
        <v>2017862.524</v>
      </c>
      <c r="F51" s="7">
        <v>473201.156</v>
      </c>
      <c r="G51" s="7">
        <v>542619.979</v>
      </c>
      <c r="H51" s="14">
        <v>22.8</v>
      </c>
      <c r="I51" s="14">
        <v>7.4</v>
      </c>
      <c r="J51" s="14">
        <v>13.2</v>
      </c>
      <c r="K51" s="14">
        <v>-1.4</v>
      </c>
      <c r="L51" s="9"/>
      <c r="M51" s="9"/>
      <c r="N51" s="9"/>
      <c r="O51" s="9"/>
      <c r="P51" s="9"/>
      <c r="Q51" s="9"/>
      <c r="R51" s="9"/>
      <c r="S51" s="13"/>
      <c r="T51" s="13"/>
      <c r="U51" s="13"/>
    </row>
    <row r="52" spans="1:23">
      <c r="A52" s="3" t="s">
        <v>546</v>
      </c>
      <c r="B52" s="7">
        <v>255677.364</v>
      </c>
      <c r="C52" s="7">
        <v>1043673.483</v>
      </c>
      <c r="D52" s="7">
        <v>1015811.983</v>
      </c>
      <c r="E52" s="7">
        <f t="shared" si="0"/>
        <v>2059485.466</v>
      </c>
      <c r="F52" s="7">
        <v>477707.494</v>
      </c>
      <c r="G52" s="7">
        <v>565589.769</v>
      </c>
      <c r="H52" s="14">
        <v>10</v>
      </c>
      <c r="I52" s="14">
        <v>7.7</v>
      </c>
      <c r="J52" s="14">
        <v>8.2</v>
      </c>
      <c r="K52" s="14">
        <v>-8.5</v>
      </c>
      <c r="L52" s="9"/>
      <c r="M52" s="9"/>
      <c r="N52" s="9"/>
      <c r="O52" s="9"/>
      <c r="P52" s="9"/>
      <c r="Q52" s="9"/>
      <c r="R52" s="9"/>
      <c r="S52" s="13"/>
      <c r="T52" s="13"/>
      <c r="U52" s="13"/>
    </row>
    <row r="53" spans="1:23">
      <c r="A53" s="3" t="s">
        <v>532</v>
      </c>
      <c r="B53" s="7">
        <v>255179.053</v>
      </c>
      <c r="C53" s="7">
        <v>1084039.077</v>
      </c>
      <c r="D53" s="7">
        <v>1034685.967</v>
      </c>
      <c r="E53" s="7">
        <f t="shared" si="0"/>
        <v>2118725.044</v>
      </c>
      <c r="F53" s="7">
        <v>470670.204</v>
      </c>
      <c r="G53" s="7">
        <v>569543.39</v>
      </c>
      <c r="H53" s="14">
        <v>3</v>
      </c>
      <c r="I53" s="14">
        <v>8.8</v>
      </c>
      <c r="J53" s="14">
        <v>1.2</v>
      </c>
      <c r="K53" s="14">
        <v>-10</v>
      </c>
      <c r="L53" s="9"/>
      <c r="M53" s="9"/>
      <c r="N53" s="9"/>
      <c r="O53" s="9"/>
      <c r="P53" s="9"/>
      <c r="Q53" s="9"/>
      <c r="R53" s="9"/>
      <c r="S53" s="13"/>
      <c r="T53" s="13"/>
      <c r="U53" s="13"/>
    </row>
    <row r="54" spans="1:23">
      <c r="A54" s="3" t="s">
        <v>533</v>
      </c>
      <c r="B54" s="7">
        <v>255079.379</v>
      </c>
      <c r="C54" s="7">
        <v>1112893.47</v>
      </c>
      <c r="D54" s="7">
        <v>1066571.875</v>
      </c>
      <c r="E54" s="7">
        <f t="shared" si="0"/>
        <v>2179465.345</v>
      </c>
      <c r="F54" s="7">
        <v>460777.739</v>
      </c>
      <c r="G54" s="7">
        <v>503226.564</v>
      </c>
      <c r="H54" s="14">
        <v>-4</v>
      </c>
      <c r="I54" s="14">
        <v>10.2</v>
      </c>
      <c r="J54" s="14">
        <v>-8.2</v>
      </c>
      <c r="K54" s="14">
        <v>-20.7</v>
      </c>
      <c r="L54" s="9"/>
      <c r="M54" s="9"/>
      <c r="N54" s="9"/>
      <c r="O54" s="9"/>
      <c r="P54" s="9"/>
      <c r="Q54" s="9"/>
      <c r="R54" s="9"/>
      <c r="S54" s="13"/>
      <c r="T54" s="13"/>
      <c r="U54" s="13"/>
    </row>
    <row r="55" spans="1:23">
      <c r="A55" s="3" t="s">
        <v>534</v>
      </c>
      <c r="B55" s="7">
        <v>244051.458</v>
      </c>
      <c r="C55" s="7">
        <v>1105346.805</v>
      </c>
      <c r="D55" s="7">
        <v>1077908.955</v>
      </c>
      <c r="E55" s="7">
        <f t="shared" si="0"/>
        <v>2183255.76</v>
      </c>
      <c r="F55" s="7">
        <v>444208.34</v>
      </c>
      <c r="G55" s="7">
        <v>453937.609</v>
      </c>
      <c r="H55" s="14">
        <v>-8.2</v>
      </c>
      <c r="I55" s="14">
        <v>8.2</v>
      </c>
      <c r="J55" s="14">
        <v>-6.1</v>
      </c>
      <c r="K55" s="14">
        <v>-16.3</v>
      </c>
      <c r="L55" s="9"/>
      <c r="M55" s="9"/>
      <c r="N55" s="9"/>
      <c r="O55" s="9"/>
      <c r="P55" s="9"/>
      <c r="Q55" s="9"/>
      <c r="R55" s="9"/>
      <c r="S55" s="13"/>
      <c r="T55" s="13"/>
      <c r="U55" s="13"/>
    </row>
    <row r="56" spans="1:23">
      <c r="A56" s="3" t="s">
        <v>547</v>
      </c>
      <c r="B56" s="7">
        <v>236827.116</v>
      </c>
      <c r="C56" s="7">
        <v>1135877.632</v>
      </c>
      <c r="D56" s="7">
        <v>1083897.884</v>
      </c>
      <c r="E56" s="7">
        <f t="shared" si="0"/>
        <v>2219775.516</v>
      </c>
      <c r="F56" s="7">
        <v>416108.662</v>
      </c>
      <c r="G56" s="7">
        <v>447314.661</v>
      </c>
      <c r="H56" s="14">
        <v>-7.4</v>
      </c>
      <c r="I56" s="14">
        <v>7.8</v>
      </c>
      <c r="J56" s="14">
        <v>-12.9</v>
      </c>
      <c r="K56" s="14">
        <v>-20.9</v>
      </c>
      <c r="M56" s="9"/>
    </row>
    <row r="57" spans="1:23">
      <c r="A57" s="3" t="s">
        <v>532</v>
      </c>
      <c r="B57" s="7">
        <v>257487.969</v>
      </c>
      <c r="C57" s="7">
        <v>1149978.586</v>
      </c>
      <c r="D57" s="7">
        <v>1088406.501</v>
      </c>
      <c r="E57" s="7">
        <f t="shared" si="0"/>
        <v>2238385.087</v>
      </c>
      <c r="F57" s="7">
        <v>418944.85</v>
      </c>
      <c r="G57" s="7">
        <v>473000.865</v>
      </c>
      <c r="H57" s="14">
        <v>0.9</v>
      </c>
      <c r="I57" s="14">
        <v>5.6</v>
      </c>
      <c r="J57" s="14">
        <v>-11</v>
      </c>
      <c r="K57" s="14">
        <v>-17</v>
      </c>
      <c r="M57" s="9"/>
    </row>
    <row r="58" spans="1:23">
      <c r="A58" s="3" t="s">
        <v>533</v>
      </c>
      <c r="B58" s="7">
        <v>246256.66</v>
      </c>
      <c r="C58" s="7">
        <v>1168051.73</v>
      </c>
      <c r="D58" s="7">
        <v>1099104.927</v>
      </c>
      <c r="E58" s="7">
        <f t="shared" si="0"/>
        <v>2267156.657</v>
      </c>
      <c r="F58" s="7">
        <v>422832.48</v>
      </c>
      <c r="G58" s="7">
        <v>467614.329</v>
      </c>
      <c r="H58" s="14">
        <v>-3.5</v>
      </c>
      <c r="I58" s="14">
        <v>4</v>
      </c>
      <c r="J58" s="14">
        <v>-8.2</v>
      </c>
      <c r="K58" s="14">
        <v>-7.1</v>
      </c>
      <c r="M58" s="9"/>
    </row>
    <row r="59" spans="1:23">
      <c r="A59" s="3" t="s">
        <v>534</v>
      </c>
      <c r="B59" s="7">
        <v>246750.618</v>
      </c>
      <c r="C59" s="7">
        <v>1225262.023</v>
      </c>
      <c r="D59" s="7">
        <v>1122259.374</v>
      </c>
      <c r="E59" s="7">
        <f t="shared" si="0"/>
        <v>2347521.397</v>
      </c>
      <c r="F59" s="7">
        <v>412570.943</v>
      </c>
      <c r="G59" s="7">
        <v>454658.972</v>
      </c>
      <c r="H59" s="14">
        <v>1.1</v>
      </c>
      <c r="I59" s="14">
        <v>7.5</v>
      </c>
      <c r="J59" s="14">
        <v>-7.1</v>
      </c>
      <c r="K59" s="14">
        <v>0.2</v>
      </c>
      <c r="M59" s="9"/>
      <c r="O59" s="15"/>
      <c r="P59" s="15"/>
      <c r="Q59" s="15"/>
      <c r="R59" s="15"/>
      <c r="S59" s="15"/>
      <c r="T59" s="15"/>
    </row>
    <row r="60" spans="1:23">
      <c r="A60" s="3" t="s">
        <v>548</v>
      </c>
      <c r="B60" s="7">
        <v>258097.025</v>
      </c>
      <c r="C60" s="7">
        <v>1287732.337</v>
      </c>
      <c r="D60" s="7">
        <v>1155848.72</v>
      </c>
      <c r="E60" s="7">
        <f t="shared" si="0"/>
        <v>2443581.057</v>
      </c>
      <c r="F60" s="7">
        <v>419254.512</v>
      </c>
      <c r="G60" s="7">
        <v>466536.131</v>
      </c>
      <c r="H60" s="14">
        <v>9</v>
      </c>
      <c r="I60" s="14">
        <v>10.1</v>
      </c>
      <c r="J60" s="14">
        <v>0.8</v>
      </c>
      <c r="K60" s="14">
        <v>4.3</v>
      </c>
      <c r="M60" s="9"/>
      <c r="O60" s="15"/>
      <c r="P60" s="15"/>
      <c r="Q60" s="15"/>
      <c r="R60" s="15"/>
      <c r="S60" s="15"/>
      <c r="T60" s="15"/>
    </row>
    <row r="61" spans="1:23">
      <c r="A61" s="3" t="s">
        <v>532</v>
      </c>
      <c r="B61" s="7">
        <v>271732.209</v>
      </c>
      <c r="C61" s="7">
        <v>1351922.871</v>
      </c>
      <c r="D61" s="7">
        <v>1180299.315</v>
      </c>
      <c r="E61" s="7">
        <f t="shared" si="0"/>
        <v>2532222.186</v>
      </c>
      <c r="F61" s="7">
        <v>431072.434</v>
      </c>
      <c r="G61" s="7">
        <v>487379.956</v>
      </c>
      <c r="H61" s="14">
        <v>5.5</v>
      </c>
      <c r="I61" s="14">
        <v>13.1</v>
      </c>
      <c r="J61" s="14">
        <v>2.9</v>
      </c>
      <c r="K61" s="14">
        <v>3</v>
      </c>
      <c r="M61" s="9"/>
      <c r="O61" s="15"/>
      <c r="P61" s="15"/>
      <c r="Q61" s="15"/>
      <c r="R61" s="15"/>
      <c r="S61" s="15"/>
      <c r="T61" s="15"/>
    </row>
    <row r="62" spans="1:23">
      <c r="A62" s="3" t="s">
        <v>533</v>
      </c>
      <c r="B62" s="7">
        <v>284559.586</v>
      </c>
      <c r="C62" s="7">
        <v>1397722.627</v>
      </c>
      <c r="D62" s="7">
        <v>1206927.011</v>
      </c>
      <c r="E62" s="7">
        <f t="shared" si="0"/>
        <v>2604649.638</v>
      </c>
      <c r="F62" s="7">
        <v>418250.989</v>
      </c>
      <c r="G62" s="7">
        <v>507235.553</v>
      </c>
      <c r="H62" s="14">
        <v>15.6</v>
      </c>
      <c r="I62" s="14">
        <v>14.9</v>
      </c>
      <c r="J62" s="14">
        <v>-1.1</v>
      </c>
      <c r="K62" s="14">
        <v>8.5</v>
      </c>
      <c r="M62" s="9"/>
      <c r="O62" s="15"/>
      <c r="P62" s="15"/>
      <c r="Q62" s="15"/>
      <c r="R62" s="15"/>
      <c r="S62" s="15"/>
      <c r="T62" s="15"/>
    </row>
    <row r="63" spans="1:23">
      <c r="A63" s="3" t="s">
        <v>534</v>
      </c>
      <c r="B63" s="7">
        <v>293055.615</v>
      </c>
      <c r="C63" s="7">
        <v>1433615.841</v>
      </c>
      <c r="D63" s="7">
        <v>1226186.662</v>
      </c>
      <c r="E63" s="7">
        <f t="shared" si="0"/>
        <v>2659802.503</v>
      </c>
      <c r="F63" s="7">
        <v>409460.172</v>
      </c>
      <c r="G63" s="7">
        <v>494252.887</v>
      </c>
      <c r="H63" s="14">
        <v>18.8</v>
      </c>
      <c r="I63" s="14">
        <v>13.3</v>
      </c>
      <c r="J63" s="14">
        <v>-0.8</v>
      </c>
      <c r="K63" s="14">
        <v>8.7</v>
      </c>
      <c r="M63" s="9"/>
      <c r="O63" s="15"/>
      <c r="P63" s="15"/>
      <c r="Q63" s="15"/>
      <c r="R63" s="15"/>
      <c r="S63" s="15"/>
      <c r="T63" s="15"/>
    </row>
    <row r="64" spans="1:23">
      <c r="A64" s="3" t="s">
        <v>549</v>
      </c>
      <c r="B64" s="7">
        <v>302668.396</v>
      </c>
      <c r="C64" s="7">
        <v>1473684.713</v>
      </c>
      <c r="D64" s="7">
        <v>1249864.113</v>
      </c>
      <c r="E64" s="7">
        <f t="shared" si="0"/>
        <v>2723548.826</v>
      </c>
      <c r="F64" s="7">
        <v>429546.251</v>
      </c>
      <c r="G64" s="7">
        <v>522242.44</v>
      </c>
      <c r="H64" s="14">
        <v>17.3</v>
      </c>
      <c r="I64" s="14">
        <v>11.5</v>
      </c>
      <c r="J64" s="14">
        <v>2.5</v>
      </c>
      <c r="K64" s="14">
        <v>11.9</v>
      </c>
      <c r="M64" s="9"/>
      <c r="O64" s="15"/>
      <c r="P64" s="15"/>
      <c r="Q64" s="15"/>
      <c r="R64" s="15"/>
      <c r="S64" s="15"/>
      <c r="T64" s="15"/>
    </row>
    <row r="65" spans="1:21">
      <c r="A65" s="3" t="s">
        <v>532</v>
      </c>
      <c r="B65" s="7">
        <v>331803.925</v>
      </c>
      <c r="C65" s="7">
        <v>1437283.268</v>
      </c>
      <c r="D65" s="7">
        <v>1282543.302</v>
      </c>
      <c r="E65" s="7">
        <f t="shared" si="0"/>
        <v>2719826.57</v>
      </c>
      <c r="F65" s="7">
        <v>429430.023</v>
      </c>
      <c r="G65" s="7">
        <v>549119.993</v>
      </c>
      <c r="H65" s="14">
        <v>22.1</v>
      </c>
      <c r="I65" s="14">
        <v>7.4</v>
      </c>
      <c r="J65" s="14">
        <v>-0.4</v>
      </c>
      <c r="K65" s="14">
        <v>12.7</v>
      </c>
      <c r="M65" s="9"/>
      <c r="O65" s="15"/>
      <c r="P65" s="15"/>
      <c r="Q65" s="15"/>
      <c r="R65" s="15"/>
      <c r="S65" s="15"/>
      <c r="T65" s="15"/>
      <c r="U65" s="15"/>
    </row>
    <row r="66" spans="1:21">
      <c r="A66" s="3" t="s">
        <v>533</v>
      </c>
      <c r="B66" s="7">
        <v>317515.815</v>
      </c>
      <c r="C66" s="7">
        <v>1472660.334</v>
      </c>
      <c r="D66" s="7">
        <v>1316829.065</v>
      </c>
      <c r="E66" s="7">
        <f t="shared" si="0"/>
        <v>2789489.399</v>
      </c>
      <c r="F66" s="7">
        <v>414682.876</v>
      </c>
      <c r="G66" s="7">
        <v>504162.065</v>
      </c>
      <c r="H66" s="14">
        <v>11.6</v>
      </c>
      <c r="I66" s="14">
        <v>7.1</v>
      </c>
      <c r="J66" s="14">
        <v>-0.9</v>
      </c>
      <c r="K66" s="14">
        <v>-0.6</v>
      </c>
      <c r="M66" s="9"/>
      <c r="O66" s="15"/>
      <c r="P66" s="15"/>
      <c r="Q66" s="15"/>
      <c r="R66" s="15"/>
      <c r="S66" s="15"/>
      <c r="T66" s="15"/>
    </row>
    <row r="67" spans="1:21">
      <c r="A67" s="3" t="s">
        <v>534</v>
      </c>
      <c r="B67" s="7">
        <v>299645.028</v>
      </c>
      <c r="C67" s="7">
        <v>1489450.77</v>
      </c>
      <c r="D67" s="7">
        <v>1339577.786</v>
      </c>
      <c r="E67" s="7">
        <f t="shared" si="0"/>
        <v>2829028.556</v>
      </c>
      <c r="F67" s="7">
        <v>390244.305</v>
      </c>
      <c r="G67" s="7">
        <v>455991.511</v>
      </c>
      <c r="H67" s="14">
        <v>8.48009037465465</v>
      </c>
      <c r="I67" s="14">
        <v>5.93874067047602</v>
      </c>
      <c r="J67" s="14">
        <v>0.600546565491115</v>
      </c>
      <c r="K67" s="14">
        <v>-7.59179460291143</v>
      </c>
      <c r="M67" s="9"/>
      <c r="O67" s="15"/>
      <c r="P67" s="15"/>
      <c r="Q67" s="15"/>
      <c r="R67" s="15"/>
      <c r="S67" s="15"/>
      <c r="T67" s="15"/>
    </row>
    <row r="68" ht="17" spans="1:21">
      <c r="A68" s="3" t="s">
        <v>550</v>
      </c>
      <c r="B68" s="7">
        <v>295239.025</v>
      </c>
      <c r="C68" s="7">
        <v>1510630.048</v>
      </c>
      <c r="D68" s="7">
        <v>1357175.296</v>
      </c>
      <c r="E68" s="7">
        <f t="shared" si="0"/>
        <v>2867805.344</v>
      </c>
      <c r="F68" s="7">
        <v>370946.282</v>
      </c>
      <c r="G68" s="7">
        <v>487165.169</v>
      </c>
      <c r="H68" s="14">
        <v>3.77995296211897</v>
      </c>
      <c r="I68" s="14">
        <v>4.89255774407036</v>
      </c>
      <c r="J68" s="14">
        <v>-8.0710568231685</v>
      </c>
      <c r="K68" s="14">
        <v>-6.55775218115173</v>
      </c>
      <c r="M68" s="9"/>
      <c r="O68" s="15"/>
      <c r="P68" s="15"/>
      <c r="Q68" s="15"/>
      <c r="R68" s="15"/>
      <c r="S68" s="15"/>
      <c r="T68" s="15"/>
    </row>
    <row r="69" spans="1:21">
      <c r="A69" s="3" t="s">
        <v>532</v>
      </c>
      <c r="B69" s="7">
        <v>305113.323</v>
      </c>
      <c r="C69" s="7">
        <v>1536283.177</v>
      </c>
      <c r="D69" s="7">
        <v>1395499.319</v>
      </c>
      <c r="E69" s="7">
        <f t="shared" ref="E69:E97" si="2">C69+D69</f>
        <v>2931782.496</v>
      </c>
      <c r="F69" s="7">
        <v>383731.7</v>
      </c>
      <c r="G69" s="7">
        <v>502892.205</v>
      </c>
      <c r="H69" s="14">
        <v>-3.32460835115197</v>
      </c>
      <c r="I69" s="14">
        <v>7.28166921319544</v>
      </c>
      <c r="J69" s="14">
        <v>-4.82035416513018</v>
      </c>
      <c r="K69" s="14">
        <v>-8.24136975103727</v>
      </c>
      <c r="M69" s="9"/>
      <c r="O69" s="15"/>
      <c r="P69" s="15"/>
      <c r="Q69" s="15"/>
      <c r="R69" s="15"/>
      <c r="S69" s="15"/>
      <c r="T69" s="15"/>
    </row>
    <row r="70" spans="1:21">
      <c r="A70" s="3" t="s">
        <v>533</v>
      </c>
      <c r="B70" s="7">
        <v>304202.298</v>
      </c>
      <c r="C70" s="7">
        <v>1543614.145</v>
      </c>
      <c r="D70" s="7">
        <v>1442407.471</v>
      </c>
      <c r="E70" s="7">
        <f t="shared" si="2"/>
        <v>2986021.616</v>
      </c>
      <c r="F70" s="7">
        <v>386215.202</v>
      </c>
      <c r="G70" s="7">
        <v>493528.844</v>
      </c>
      <c r="H70" s="14">
        <v>-1.58002334466396</v>
      </c>
      <c r="I70" s="14">
        <v>6.37354757697719</v>
      </c>
      <c r="J70" s="14">
        <v>-1.43359838181502</v>
      </c>
      <c r="K70" s="14">
        <v>-1.91620367153169</v>
      </c>
      <c r="M70" s="9"/>
      <c r="O70" s="15"/>
      <c r="P70" s="15"/>
      <c r="Q70" s="15"/>
      <c r="R70" s="15"/>
      <c r="S70" s="15"/>
      <c r="T70" s="15"/>
    </row>
    <row r="71" spans="1:21">
      <c r="A71" s="3" t="s">
        <v>534</v>
      </c>
      <c r="B71" s="7">
        <v>301405.145</v>
      </c>
      <c r="C71" s="7">
        <v>1582047.851</v>
      </c>
      <c r="D71" s="7">
        <v>1466259.593</v>
      </c>
      <c r="E71" s="7">
        <f t="shared" si="2"/>
        <v>3048307.444</v>
      </c>
      <c r="F71" s="7">
        <v>376397.693</v>
      </c>
      <c r="G71" s="7">
        <v>452983.373</v>
      </c>
      <c r="H71" s="14">
        <f t="shared" ref="H71:H97" si="3">B71/B67*100-100</f>
        <v>0.587400702674117</v>
      </c>
      <c r="I71" s="14">
        <f t="shared" ref="I71:K86" si="4">E71/E67*100-100</f>
        <v>7.75103126954792</v>
      </c>
      <c r="J71" s="14">
        <f t="shared" si="4"/>
        <v>-3.54819066481956</v>
      </c>
      <c r="K71" s="14">
        <f t="shared" si="4"/>
        <v>-0.659691666935444</v>
      </c>
      <c r="M71" s="9"/>
      <c r="O71" s="15"/>
      <c r="P71" s="15"/>
      <c r="Q71" s="15"/>
      <c r="R71" s="15"/>
      <c r="S71" s="15"/>
      <c r="T71" s="15"/>
    </row>
    <row r="72" ht="16" spans="1:21">
      <c r="A72" s="3" t="s">
        <v>551</v>
      </c>
      <c r="B72" s="7">
        <v>321072.668</v>
      </c>
      <c r="C72" s="7">
        <v>1621687.202</v>
      </c>
      <c r="D72" s="7">
        <v>1489884.919</v>
      </c>
      <c r="E72" s="7">
        <f t="shared" si="2"/>
        <v>3111572.121</v>
      </c>
      <c r="F72" s="7">
        <v>372935.192</v>
      </c>
      <c r="G72" s="7">
        <v>480609.92</v>
      </c>
      <c r="H72" s="14">
        <f t="shared" si="3"/>
        <v>8.75007733140968</v>
      </c>
      <c r="I72" s="14">
        <f t="shared" si="4"/>
        <v>8.5001158642098</v>
      </c>
      <c r="J72" s="14">
        <f t="shared" si="4"/>
        <v>0.536171973277774</v>
      </c>
      <c r="K72" s="14">
        <f t="shared" si="4"/>
        <v>-1.34559065736491</v>
      </c>
      <c r="M72" s="9"/>
      <c r="O72" s="15"/>
      <c r="P72" s="15"/>
      <c r="Q72" s="15"/>
      <c r="R72" s="15"/>
      <c r="S72" s="15"/>
      <c r="T72" s="15"/>
    </row>
    <row r="73" spans="1:21">
      <c r="A73" s="3" t="s">
        <v>532</v>
      </c>
      <c r="B73" s="7">
        <v>308311.468</v>
      </c>
      <c r="C73" s="7">
        <v>1575027.338</v>
      </c>
      <c r="D73" s="7">
        <v>1516794.674</v>
      </c>
      <c r="E73" s="7">
        <f t="shared" si="2"/>
        <v>3091822.012</v>
      </c>
      <c r="F73" s="7">
        <v>372042.456</v>
      </c>
      <c r="G73" s="7">
        <v>474488.051</v>
      </c>
      <c r="H73" s="14">
        <f t="shared" si="3"/>
        <v>1.04818267801437</v>
      </c>
      <c r="I73" s="14">
        <f t="shared" si="4"/>
        <v>5.45877861738894</v>
      </c>
      <c r="J73" s="14">
        <f t="shared" si="4"/>
        <v>-3.04620233355753</v>
      </c>
      <c r="K73" s="14">
        <f t="shared" si="4"/>
        <v>-5.64815952953576</v>
      </c>
      <c r="M73" s="9"/>
      <c r="O73" s="15"/>
      <c r="P73" s="15"/>
      <c r="Q73" s="15"/>
      <c r="R73" s="15"/>
      <c r="S73" s="15"/>
      <c r="T73" s="15"/>
    </row>
    <row r="74" spans="1:21">
      <c r="A74" s="3" t="s">
        <v>533</v>
      </c>
      <c r="B74" s="7">
        <v>305155.533</v>
      </c>
      <c r="C74" s="7">
        <v>1557313.623</v>
      </c>
      <c r="D74" s="7">
        <v>1554007.811</v>
      </c>
      <c r="E74" s="7">
        <f t="shared" si="2"/>
        <v>3111321.434</v>
      </c>
      <c r="F74" s="7">
        <v>358775.278</v>
      </c>
      <c r="G74" s="7">
        <v>457219.271</v>
      </c>
      <c r="H74" s="14">
        <f t="shared" si="3"/>
        <v>0.313355621001918</v>
      </c>
      <c r="I74" s="14">
        <f t="shared" si="4"/>
        <v>4.19621269077912</v>
      </c>
      <c r="J74" s="14">
        <f t="shared" si="4"/>
        <v>-7.10482753084381</v>
      </c>
      <c r="K74" s="14">
        <f t="shared" si="4"/>
        <v>-7.35713290954075</v>
      </c>
      <c r="M74" s="9"/>
      <c r="O74" s="15"/>
      <c r="P74" s="15"/>
      <c r="Q74" s="15"/>
      <c r="R74" s="15"/>
      <c r="S74" s="15"/>
      <c r="T74" s="15"/>
    </row>
    <row r="75" spans="1:21">
      <c r="A75" s="3" t="s">
        <v>534</v>
      </c>
      <c r="B75" s="7">
        <v>306455.007</v>
      </c>
      <c r="C75" s="7">
        <v>1580235.614</v>
      </c>
      <c r="D75" s="7">
        <v>1580348.681</v>
      </c>
      <c r="E75" s="7">
        <f t="shared" si="2"/>
        <v>3160584.295</v>
      </c>
      <c r="F75" s="7">
        <v>348927.978</v>
      </c>
      <c r="G75" s="7">
        <v>424801.369</v>
      </c>
      <c r="H75" s="14">
        <f t="shared" si="3"/>
        <v>1.67543988009891</v>
      </c>
      <c r="I75" s="14">
        <f t="shared" si="4"/>
        <v>3.68325220020031</v>
      </c>
      <c r="J75" s="14">
        <f t="shared" si="4"/>
        <v>-7.29805615466405</v>
      </c>
      <c r="K75" s="14">
        <f t="shared" si="4"/>
        <v>-6.22142128823788</v>
      </c>
      <c r="M75" s="9"/>
      <c r="O75" s="15"/>
      <c r="P75" s="15"/>
      <c r="Q75" s="15"/>
      <c r="R75" s="15"/>
      <c r="S75" s="15"/>
      <c r="T75" s="15"/>
    </row>
    <row r="76" ht="16" spans="1:21">
      <c r="A76" s="3" t="s">
        <v>552</v>
      </c>
      <c r="B76" s="7">
        <v>319427.859</v>
      </c>
      <c r="C76" s="7">
        <v>1634115.628</v>
      </c>
      <c r="D76" s="7">
        <v>1603519.595</v>
      </c>
      <c r="E76" s="7">
        <f t="shared" si="2"/>
        <v>3237635.223</v>
      </c>
      <c r="F76" s="7">
        <v>349244.566</v>
      </c>
      <c r="G76" s="7">
        <v>461069.264</v>
      </c>
      <c r="H76" s="14">
        <f t="shared" si="3"/>
        <v>-0.512285586389439</v>
      </c>
      <c r="I76" s="14">
        <f t="shared" si="4"/>
        <v>4.05142793089064</v>
      </c>
      <c r="J76" s="14">
        <f t="shared" si="4"/>
        <v>-6.35247799301278</v>
      </c>
      <c r="K76" s="14">
        <f t="shared" si="4"/>
        <v>-4.06580371874141</v>
      </c>
      <c r="M76" s="9"/>
      <c r="O76" s="15"/>
      <c r="P76" s="15"/>
      <c r="Q76" s="15"/>
      <c r="R76" s="15"/>
      <c r="S76" s="15"/>
      <c r="T76" s="15"/>
    </row>
    <row r="77" spans="1:21">
      <c r="A77" s="3" t="s">
        <v>532</v>
      </c>
      <c r="B77" s="7">
        <v>314037.68</v>
      </c>
      <c r="C77" s="7">
        <v>1643299.889</v>
      </c>
      <c r="D77" s="7">
        <v>1647100.668</v>
      </c>
      <c r="E77" s="7">
        <f t="shared" si="2"/>
        <v>3290400.557</v>
      </c>
      <c r="F77" s="7">
        <v>342527.747</v>
      </c>
      <c r="G77" s="7">
        <v>543143.769</v>
      </c>
      <c r="H77" s="14">
        <f t="shared" si="3"/>
        <v>1.85728154620573</v>
      </c>
      <c r="I77" s="14">
        <f t="shared" si="4"/>
        <v>6.4227029961387</v>
      </c>
      <c r="J77" s="14">
        <f t="shared" si="4"/>
        <v>-7.93315615570499</v>
      </c>
      <c r="K77" s="14">
        <f t="shared" si="4"/>
        <v>14.4694303376673</v>
      </c>
      <c r="M77" s="9"/>
      <c r="O77" s="15"/>
      <c r="P77" s="15"/>
      <c r="Q77" s="15"/>
      <c r="R77" s="15"/>
      <c r="S77" s="15"/>
      <c r="T77" s="15"/>
    </row>
    <row r="78" spans="1:21">
      <c r="A78" s="3" t="s">
        <v>533</v>
      </c>
      <c r="B78" s="7">
        <v>322639.875</v>
      </c>
      <c r="C78" s="7">
        <v>1622435.625</v>
      </c>
      <c r="D78" s="7">
        <v>1695436.349</v>
      </c>
      <c r="E78" s="7">
        <f t="shared" si="2"/>
        <v>3317871.974</v>
      </c>
      <c r="F78" s="7">
        <v>333854.649</v>
      </c>
      <c r="G78" s="7">
        <v>573024.799</v>
      </c>
      <c r="H78" s="14">
        <f t="shared" si="3"/>
        <v>5.72964934573217</v>
      </c>
      <c r="I78" s="14">
        <f t="shared" si="4"/>
        <v>6.63867570039052</v>
      </c>
      <c r="J78" s="14">
        <f t="shared" si="4"/>
        <v>-6.94602736813991</v>
      </c>
      <c r="K78" s="14">
        <f t="shared" si="4"/>
        <v>25.328225502551</v>
      </c>
      <c r="M78" s="9"/>
      <c r="O78" s="15"/>
      <c r="P78" s="15"/>
      <c r="Q78" s="15"/>
      <c r="R78" s="15"/>
      <c r="S78" s="15"/>
      <c r="T78" s="15"/>
    </row>
    <row r="79" spans="1:21">
      <c r="A79" s="3" t="s">
        <v>534</v>
      </c>
      <c r="B79" s="7">
        <v>312857.795</v>
      </c>
      <c r="C79" s="7">
        <v>1671043.493</v>
      </c>
      <c r="D79" s="7">
        <v>1735068.897</v>
      </c>
      <c r="E79" s="7">
        <f t="shared" si="2"/>
        <v>3406112.39</v>
      </c>
      <c r="F79" s="7">
        <v>325285.978</v>
      </c>
      <c r="G79" s="7">
        <v>485030.245</v>
      </c>
      <c r="H79" s="14">
        <f t="shared" si="3"/>
        <v>2.0893076809804</v>
      </c>
      <c r="I79" s="14">
        <f t="shared" si="4"/>
        <v>7.7684400124503</v>
      </c>
      <c r="J79" s="14">
        <f t="shared" si="4"/>
        <v>-6.77561029514234</v>
      </c>
      <c r="K79" s="14">
        <f t="shared" si="4"/>
        <v>14.1781266246343</v>
      </c>
      <c r="M79" s="9"/>
      <c r="O79" s="15"/>
      <c r="P79" s="15"/>
      <c r="Q79" s="15"/>
      <c r="R79" s="15"/>
      <c r="S79" s="15"/>
      <c r="T79" s="15"/>
    </row>
    <row r="80" ht="16" spans="1:21">
      <c r="A80" s="3" t="s">
        <v>553</v>
      </c>
      <c r="B80" s="7">
        <v>331184.656</v>
      </c>
      <c r="C80" s="7">
        <v>1703335.087</v>
      </c>
      <c r="D80" s="7">
        <v>1758881.65</v>
      </c>
      <c r="E80" s="7">
        <f t="shared" si="2"/>
        <v>3462216.737</v>
      </c>
      <c r="F80" s="7">
        <v>351699.847</v>
      </c>
      <c r="G80" s="7">
        <v>531484.847</v>
      </c>
      <c r="H80" s="14">
        <f t="shared" si="3"/>
        <v>3.68057972050586</v>
      </c>
      <c r="I80" s="14">
        <f t="shared" si="4"/>
        <v>6.93659101570749</v>
      </c>
      <c r="J80" s="14">
        <f t="shared" si="4"/>
        <v>0.703026256964009</v>
      </c>
      <c r="K80" s="14">
        <f t="shared" si="4"/>
        <v>15.2722353229774</v>
      </c>
      <c r="M80" s="9"/>
      <c r="O80" s="15"/>
      <c r="P80" s="15"/>
      <c r="Q80" s="15"/>
      <c r="R80" s="15"/>
      <c r="S80" s="15"/>
      <c r="T80" s="15"/>
    </row>
    <row r="81" spans="1:20">
      <c r="A81" s="3" t="s">
        <v>532</v>
      </c>
      <c r="B81" s="7">
        <v>328112.354</v>
      </c>
      <c r="C81" s="7">
        <v>1683254.552</v>
      </c>
      <c r="D81" s="7">
        <v>1773027.766</v>
      </c>
      <c r="E81" s="7">
        <f t="shared" si="2"/>
        <v>3456282.318</v>
      </c>
      <c r="F81" s="7">
        <v>356536.943</v>
      </c>
      <c r="G81" s="7">
        <v>524338.466</v>
      </c>
      <c r="H81" s="14">
        <f t="shared" si="3"/>
        <v>4.48184243368503</v>
      </c>
      <c r="I81" s="14">
        <f t="shared" si="4"/>
        <v>5.04138502672882</v>
      </c>
      <c r="J81" s="14">
        <f t="shared" si="4"/>
        <v>4.089944865109</v>
      </c>
      <c r="K81" s="14">
        <f t="shared" si="4"/>
        <v>-3.46230668071975</v>
      </c>
      <c r="M81" s="9"/>
      <c r="O81" s="15"/>
      <c r="P81" s="15"/>
      <c r="Q81" s="15"/>
      <c r="R81" s="15"/>
      <c r="S81" s="15"/>
      <c r="T81" s="15"/>
    </row>
    <row r="82" spans="1:20">
      <c r="A82" s="3" t="s">
        <v>533</v>
      </c>
      <c r="B82" s="7">
        <v>343200.558</v>
      </c>
      <c r="C82" s="7">
        <v>1659804.956</v>
      </c>
      <c r="D82" s="7">
        <v>1795080.949</v>
      </c>
      <c r="E82" s="7">
        <f t="shared" si="2"/>
        <v>3454885.905</v>
      </c>
      <c r="F82" s="7">
        <v>342974.387</v>
      </c>
      <c r="G82" s="7">
        <v>487758.411</v>
      </c>
      <c r="H82" s="14">
        <f t="shared" si="3"/>
        <v>6.37264163333811</v>
      </c>
      <c r="I82" s="14">
        <f t="shared" si="4"/>
        <v>4.12957257162691</v>
      </c>
      <c r="J82" s="14">
        <f t="shared" si="4"/>
        <v>2.73164924535767</v>
      </c>
      <c r="K82" s="14">
        <f t="shared" si="4"/>
        <v>-14.8800519888145</v>
      </c>
      <c r="M82" s="9"/>
      <c r="O82" s="15"/>
      <c r="P82" s="15"/>
      <c r="Q82" s="15"/>
      <c r="R82" s="15"/>
      <c r="S82" s="15"/>
      <c r="T82" s="15"/>
    </row>
    <row r="83" spans="1:20">
      <c r="A83" s="3" t="s">
        <v>534</v>
      </c>
      <c r="B83" s="7">
        <v>312516.549</v>
      </c>
      <c r="C83" s="7">
        <v>1667814.384</v>
      </c>
      <c r="D83" s="7">
        <v>1808368.777</v>
      </c>
      <c r="E83" s="7">
        <f t="shared" si="2"/>
        <v>3476183.161</v>
      </c>
      <c r="F83" s="7">
        <v>311931.85</v>
      </c>
      <c r="G83" s="7">
        <v>419691.775</v>
      </c>
      <c r="H83" s="14">
        <f t="shared" si="3"/>
        <v>-0.109073836565273</v>
      </c>
      <c r="I83" s="14">
        <f t="shared" si="4"/>
        <v>2.05720666193285</v>
      </c>
      <c r="J83" s="14">
        <f t="shared" si="4"/>
        <v>-4.10535003141145</v>
      </c>
      <c r="K83" s="14">
        <f t="shared" si="4"/>
        <v>-13.4710094212785</v>
      </c>
      <c r="M83" s="9"/>
      <c r="O83" s="15"/>
      <c r="P83" s="15"/>
      <c r="Q83" s="15"/>
      <c r="R83" s="15"/>
      <c r="S83" s="15"/>
      <c r="T83" s="15"/>
    </row>
    <row r="84" spans="1:20">
      <c r="A84" s="3" t="s">
        <v>554</v>
      </c>
      <c r="B84" s="7">
        <v>324339.123</v>
      </c>
      <c r="C84" s="7">
        <v>1699824.031</v>
      </c>
      <c r="D84" s="7">
        <v>1818178.47</v>
      </c>
      <c r="E84" s="7">
        <f t="shared" si="2"/>
        <v>3518002.501</v>
      </c>
      <c r="F84" s="7">
        <v>308445.388</v>
      </c>
      <c r="G84" s="7">
        <v>415819.823</v>
      </c>
      <c r="H84" s="14">
        <f t="shared" si="3"/>
        <v>-2.06698374335313</v>
      </c>
      <c r="I84" s="14">
        <f t="shared" si="4"/>
        <v>1.61127301488176</v>
      </c>
      <c r="J84" s="14">
        <f t="shared" si="4"/>
        <v>-12.2986857597353</v>
      </c>
      <c r="K84" s="14">
        <f t="shared" si="4"/>
        <v>-21.7626193207349</v>
      </c>
      <c r="M84" s="9"/>
      <c r="O84" s="15"/>
      <c r="P84" s="15"/>
      <c r="Q84" s="15"/>
      <c r="R84" s="15"/>
      <c r="S84" s="15"/>
      <c r="T84" s="15"/>
    </row>
    <row r="85" spans="1:20">
      <c r="A85" s="3" t="s">
        <v>532</v>
      </c>
      <c r="B85" s="7">
        <v>312064.387</v>
      </c>
      <c r="C85" s="7">
        <v>1665344.005</v>
      </c>
      <c r="D85" s="7">
        <v>1839584.002</v>
      </c>
      <c r="E85" s="7">
        <f t="shared" si="2"/>
        <v>3504928.007</v>
      </c>
      <c r="F85" s="7">
        <v>307212.431</v>
      </c>
      <c r="G85" s="7">
        <v>405852.255</v>
      </c>
      <c r="H85" s="14">
        <f t="shared" si="3"/>
        <v>-4.89099749045108</v>
      </c>
      <c r="I85" s="14">
        <f t="shared" si="4"/>
        <v>1.40745704558502</v>
      </c>
      <c r="J85" s="14">
        <f t="shared" si="4"/>
        <v>-13.8343341323819</v>
      </c>
      <c r="K85" s="14">
        <f t="shared" si="4"/>
        <v>-22.5972761266002</v>
      </c>
      <c r="M85" s="9"/>
      <c r="O85" s="15"/>
      <c r="P85" s="15"/>
      <c r="Q85" s="15"/>
      <c r="R85" s="15"/>
      <c r="S85" s="15"/>
      <c r="T85" s="15"/>
    </row>
    <row r="86" spans="1:20">
      <c r="A86" s="3" t="s">
        <v>533</v>
      </c>
      <c r="B86" s="7">
        <v>301071.791</v>
      </c>
      <c r="C86" s="7">
        <v>1616273.028</v>
      </c>
      <c r="D86" s="7">
        <v>1855179.4</v>
      </c>
      <c r="E86" s="7">
        <f t="shared" si="2"/>
        <v>3471452.428</v>
      </c>
      <c r="F86" s="7">
        <v>298043.013</v>
      </c>
      <c r="G86" s="7">
        <v>394009.625</v>
      </c>
      <c r="H86" s="14">
        <f t="shared" si="3"/>
        <v>-12.2752618018762</v>
      </c>
      <c r="I86" s="14">
        <f t="shared" si="4"/>
        <v>0.479509988333461</v>
      </c>
      <c r="J86" s="14">
        <f t="shared" si="4"/>
        <v>-13.1005042076218</v>
      </c>
      <c r="K86" s="14">
        <f t="shared" si="4"/>
        <v>-19.2203320098154</v>
      </c>
      <c r="M86" s="9"/>
      <c r="O86" s="15"/>
      <c r="P86" s="15"/>
      <c r="Q86" s="15"/>
      <c r="R86" s="15"/>
      <c r="S86" s="15"/>
      <c r="T86" s="15"/>
    </row>
    <row r="87" spans="1:20">
      <c r="A87" s="3" t="s">
        <v>534</v>
      </c>
      <c r="B87" s="7">
        <v>298543.54</v>
      </c>
      <c r="C87" s="7">
        <v>1619384.738</v>
      </c>
      <c r="D87" s="7">
        <v>1853587.355</v>
      </c>
      <c r="E87" s="7">
        <f t="shared" si="2"/>
        <v>3472972.093</v>
      </c>
      <c r="F87" s="7">
        <v>300757.217</v>
      </c>
      <c r="G87" s="7">
        <v>364625.869</v>
      </c>
      <c r="H87" s="14">
        <f t="shared" si="3"/>
        <v>-4.47112610346917</v>
      </c>
      <c r="I87" s="14">
        <f t="shared" ref="I87:K97" si="5">E87/E83*100-100</f>
        <v>-0.092373383428864</v>
      </c>
      <c r="J87" s="14">
        <f t="shared" si="5"/>
        <v>-3.58239564186856</v>
      </c>
      <c r="K87" s="14">
        <f t="shared" si="5"/>
        <v>-13.1205587719702</v>
      </c>
      <c r="M87" s="9"/>
      <c r="O87" s="15"/>
      <c r="P87" s="15"/>
      <c r="Q87" s="15"/>
      <c r="R87" s="15"/>
      <c r="S87" s="15"/>
      <c r="T87" s="15"/>
    </row>
    <row r="88" spans="1:20">
      <c r="A88" s="3" t="s">
        <v>555</v>
      </c>
      <c r="B88" s="7">
        <v>299911.636</v>
      </c>
      <c r="C88" s="7">
        <v>1609397.381</v>
      </c>
      <c r="D88" s="7">
        <v>1851812.69</v>
      </c>
      <c r="E88" s="7">
        <f t="shared" si="2"/>
        <v>3461210.071</v>
      </c>
      <c r="F88" s="7">
        <v>286647.322</v>
      </c>
      <c r="G88" s="7">
        <v>362747.228</v>
      </c>
      <c r="H88" s="14">
        <f t="shared" si="3"/>
        <v>-7.53146483657477</v>
      </c>
      <c r="I88" s="14">
        <f t="shared" si="5"/>
        <v>-1.61433739697048</v>
      </c>
      <c r="J88" s="14">
        <f t="shared" si="5"/>
        <v>-7.067074706917</v>
      </c>
      <c r="K88" s="14">
        <f t="shared" si="5"/>
        <v>-12.7633633762573</v>
      </c>
      <c r="M88" s="9"/>
      <c r="O88" s="15"/>
      <c r="P88" s="15"/>
      <c r="Q88" s="15"/>
      <c r="R88" s="15"/>
      <c r="S88" s="15"/>
      <c r="T88" s="15"/>
    </row>
    <row r="89" spans="1:20">
      <c r="A89" s="3" t="s">
        <v>532</v>
      </c>
      <c r="B89" s="7">
        <v>291729.141</v>
      </c>
      <c r="C89" s="7">
        <v>1556958.509</v>
      </c>
      <c r="D89" s="7">
        <v>1865082.358</v>
      </c>
      <c r="E89" s="7">
        <f t="shared" si="2"/>
        <v>3422040.867</v>
      </c>
      <c r="F89" s="7">
        <v>287292.761</v>
      </c>
      <c r="G89" s="7">
        <v>384607.634</v>
      </c>
      <c r="H89" s="14">
        <f t="shared" si="3"/>
        <v>-6.51636227878831</v>
      </c>
      <c r="I89" s="14">
        <f t="shared" si="5"/>
        <v>-2.36487425232298</v>
      </c>
      <c r="J89" s="14">
        <f t="shared" si="5"/>
        <v>-6.48400519964636</v>
      </c>
      <c r="K89" s="14">
        <f t="shared" si="5"/>
        <v>-5.234570151643</v>
      </c>
      <c r="M89" s="9"/>
      <c r="O89" s="15"/>
      <c r="P89" s="15"/>
      <c r="Q89" s="15"/>
      <c r="R89" s="15"/>
      <c r="S89" s="15"/>
      <c r="T89" s="15"/>
    </row>
    <row r="90" spans="1:20">
      <c r="A90" s="3" t="s">
        <v>533</v>
      </c>
      <c r="B90" s="7">
        <v>297808.1</v>
      </c>
      <c r="C90" s="7">
        <v>1509750.562</v>
      </c>
      <c r="D90" s="7">
        <v>1875612.201</v>
      </c>
      <c r="E90" s="7">
        <f t="shared" si="2"/>
        <v>3385362.763</v>
      </c>
      <c r="F90" s="7">
        <v>296940.539</v>
      </c>
      <c r="G90" s="7">
        <v>378858.717</v>
      </c>
      <c r="H90" s="14">
        <f t="shared" si="3"/>
        <v>-1.08402417548314</v>
      </c>
      <c r="I90" s="14">
        <f t="shared" si="5"/>
        <v>-2.47993215478395</v>
      </c>
      <c r="J90" s="14">
        <f t="shared" si="5"/>
        <v>-0.369904326527532</v>
      </c>
      <c r="K90" s="14">
        <f t="shared" si="5"/>
        <v>-3.84531418490094</v>
      </c>
      <c r="M90" s="9"/>
      <c r="O90" s="15"/>
      <c r="P90" s="15"/>
      <c r="Q90" s="15"/>
      <c r="R90" s="15"/>
      <c r="S90" s="15"/>
      <c r="T90" s="15"/>
    </row>
    <row r="91" spans="1:20">
      <c r="A91" s="3" t="s">
        <v>534</v>
      </c>
      <c r="B91" s="7">
        <v>295132.542</v>
      </c>
      <c r="C91" s="7">
        <v>1488357.512</v>
      </c>
      <c r="D91" s="7">
        <v>1873532.467</v>
      </c>
      <c r="E91" s="7">
        <f t="shared" si="2"/>
        <v>3361889.979</v>
      </c>
      <c r="F91" s="7">
        <v>292621.661</v>
      </c>
      <c r="G91" s="7">
        <v>381242.868</v>
      </c>
      <c r="H91" s="14">
        <f t="shared" si="3"/>
        <v>-1.14254624300361</v>
      </c>
      <c r="I91" s="14">
        <f t="shared" si="5"/>
        <v>-3.19847413182192</v>
      </c>
      <c r="J91" s="14">
        <f t="shared" si="5"/>
        <v>-2.70502436521747</v>
      </c>
      <c r="K91" s="14">
        <f t="shared" si="5"/>
        <v>4.55727374625745</v>
      </c>
      <c r="M91" s="9"/>
      <c r="O91" s="15"/>
      <c r="P91" s="15"/>
      <c r="Q91" s="15"/>
      <c r="R91" s="15"/>
      <c r="S91" s="15"/>
      <c r="T91" s="15"/>
    </row>
    <row r="92" spans="1:20">
      <c r="A92" s="3" t="s">
        <v>556</v>
      </c>
      <c r="B92" s="7">
        <v>310084.314</v>
      </c>
      <c r="C92" s="7">
        <v>1446113.92</v>
      </c>
      <c r="D92" s="7">
        <v>1880587.64</v>
      </c>
      <c r="E92" s="7">
        <f t="shared" si="2"/>
        <v>3326701.56</v>
      </c>
      <c r="F92" s="7">
        <v>286619.036</v>
      </c>
      <c r="G92" s="7">
        <v>363483.485</v>
      </c>
      <c r="H92" s="14">
        <f t="shared" si="3"/>
        <v>3.39189173707153</v>
      </c>
      <c r="I92" s="14">
        <f t="shared" si="5"/>
        <v>-3.8861701035424</v>
      </c>
      <c r="J92" s="14">
        <f t="shared" si="5"/>
        <v>-0.00986787520029964</v>
      </c>
      <c r="K92" s="14">
        <f t="shared" si="5"/>
        <v>0.202966954167863</v>
      </c>
      <c r="M92" s="9"/>
      <c r="O92" s="15"/>
      <c r="P92" s="15"/>
      <c r="Q92" s="15"/>
      <c r="R92" s="15"/>
      <c r="S92" s="15"/>
      <c r="T92" s="15"/>
    </row>
    <row r="93" spans="1:20">
      <c r="A93" s="3" t="s">
        <v>532</v>
      </c>
      <c r="B93" s="7">
        <v>324870.771</v>
      </c>
      <c r="C93" s="7">
        <v>1445796.326</v>
      </c>
      <c r="D93" s="7">
        <v>1889329.495</v>
      </c>
      <c r="E93" s="7">
        <f t="shared" si="2"/>
        <v>3335125.821</v>
      </c>
      <c r="F93" s="7">
        <v>293650.494</v>
      </c>
      <c r="G93" s="7">
        <v>376223.882</v>
      </c>
      <c r="H93" s="14">
        <f t="shared" si="3"/>
        <v>11.3604111973168</v>
      </c>
      <c r="I93" s="14">
        <f t="shared" si="5"/>
        <v>-2.53985996596808</v>
      </c>
      <c r="J93" s="14">
        <f t="shared" si="5"/>
        <v>2.21298057698016</v>
      </c>
      <c r="K93" s="14">
        <f t="shared" si="5"/>
        <v>-2.17981944684958</v>
      </c>
      <c r="M93" s="9"/>
      <c r="O93" s="15"/>
      <c r="P93" s="15"/>
      <c r="Q93" s="15"/>
      <c r="R93" s="15"/>
      <c r="S93" s="15"/>
      <c r="T93" s="15"/>
    </row>
    <row r="94" spans="1:20">
      <c r="A94" s="3" t="s">
        <v>533</v>
      </c>
      <c r="B94" s="7">
        <v>322774.747</v>
      </c>
      <c r="C94" s="7">
        <v>1388210.989</v>
      </c>
      <c r="D94" s="7">
        <v>1894346.998</v>
      </c>
      <c r="E94" s="7">
        <f t="shared" si="2"/>
        <v>3282557.987</v>
      </c>
      <c r="F94" s="7">
        <v>282430.925</v>
      </c>
      <c r="G94" s="7">
        <v>373755.161</v>
      </c>
      <c r="H94" s="14">
        <f t="shared" si="3"/>
        <v>8.38346807894077</v>
      </c>
      <c r="I94" s="14">
        <f t="shared" si="5"/>
        <v>-3.03674327382564</v>
      </c>
      <c r="J94" s="14">
        <f t="shared" si="5"/>
        <v>-4.8863701968292</v>
      </c>
      <c r="K94" s="14">
        <f t="shared" si="5"/>
        <v>-1.34708686140644</v>
      </c>
      <c r="M94" s="9"/>
      <c r="O94" s="15"/>
      <c r="P94" s="15"/>
      <c r="Q94" s="15"/>
      <c r="R94" s="15"/>
      <c r="S94" s="15"/>
      <c r="T94" s="15"/>
    </row>
    <row r="95" spans="1:20">
      <c r="A95" s="3" t="s">
        <v>534</v>
      </c>
      <c r="B95" s="7">
        <v>306596.643</v>
      </c>
      <c r="C95" s="7">
        <v>1372331.133</v>
      </c>
      <c r="D95" s="7">
        <v>1920476.489</v>
      </c>
      <c r="E95" s="7">
        <f t="shared" si="2"/>
        <v>3292807.622</v>
      </c>
      <c r="F95" s="7">
        <v>278886.353</v>
      </c>
      <c r="G95" s="7">
        <v>390780.211</v>
      </c>
      <c r="H95" s="14">
        <f t="shared" si="3"/>
        <v>3.88439069521516</v>
      </c>
      <c r="I95" s="14">
        <f t="shared" si="5"/>
        <v>-2.05486668009728</v>
      </c>
      <c r="J95" s="14">
        <f t="shared" si="5"/>
        <v>-4.69387944592387</v>
      </c>
      <c r="K95" s="14">
        <f t="shared" si="5"/>
        <v>2.50164496191965</v>
      </c>
      <c r="M95" s="9"/>
      <c r="O95" s="15"/>
      <c r="P95" s="15"/>
      <c r="Q95" s="15"/>
      <c r="R95" s="15"/>
      <c r="S95" s="15"/>
      <c r="T95" s="15"/>
    </row>
    <row r="96" spans="1:20">
      <c r="A96" s="3" t="s">
        <v>557</v>
      </c>
      <c r="B96" s="7">
        <v>328188.241</v>
      </c>
      <c r="C96" s="7">
        <v>1339249.189</v>
      </c>
      <c r="D96" s="7">
        <v>1937565.885</v>
      </c>
      <c r="E96" s="7">
        <f t="shared" si="2"/>
        <v>3276815.074</v>
      </c>
      <c r="F96" s="7">
        <v>284551.075</v>
      </c>
      <c r="G96" s="7">
        <v>421501.11</v>
      </c>
      <c r="H96" s="14">
        <f t="shared" si="3"/>
        <v>5.83838852293572</v>
      </c>
      <c r="I96" s="14">
        <f t="shared" si="5"/>
        <v>-1.49957803849406</v>
      </c>
      <c r="J96" s="14">
        <f t="shared" si="5"/>
        <v>-0.721501624197771</v>
      </c>
      <c r="K96" s="14">
        <f t="shared" si="5"/>
        <v>15.9615573730949</v>
      </c>
      <c r="M96" s="9"/>
      <c r="O96" s="15"/>
      <c r="P96" s="15"/>
      <c r="Q96" s="15"/>
      <c r="R96" s="15"/>
      <c r="S96" s="15"/>
      <c r="T96" s="15"/>
    </row>
    <row r="97" spans="1:20">
      <c r="A97" s="3" t="s">
        <v>532</v>
      </c>
      <c r="B97" s="7">
        <v>363633.971</v>
      </c>
      <c r="C97" s="7">
        <v>1313893.844</v>
      </c>
      <c r="D97" s="7">
        <v>1958342.695</v>
      </c>
      <c r="E97" s="7">
        <f t="shared" si="2"/>
        <v>3272236.539</v>
      </c>
      <c r="F97" s="7">
        <v>312054.138</v>
      </c>
      <c r="G97" s="7">
        <v>436089.191</v>
      </c>
      <c r="H97" s="14">
        <f t="shared" si="3"/>
        <v>11.9318829086043</v>
      </c>
      <c r="I97" s="14">
        <f t="shared" si="5"/>
        <v>-1.88566445091848</v>
      </c>
      <c r="J97" s="14">
        <f t="shared" si="5"/>
        <v>6.26719327092293</v>
      </c>
      <c r="K97" s="14">
        <f t="shared" si="5"/>
        <v>15.9121501489371</v>
      </c>
      <c r="M97" s="9"/>
      <c r="O97" s="15"/>
      <c r="P97" s="15"/>
      <c r="Q97" s="15"/>
      <c r="R97" s="15"/>
      <c r="S97" s="15"/>
      <c r="T97" s="15"/>
    </row>
    <row r="98" spans="1:20">
      <c r="A98" s="3" t="s">
        <v>533</v>
      </c>
      <c r="B98" s="7"/>
      <c r="C98" s="7"/>
      <c r="D98" s="7"/>
      <c r="E98" s="7"/>
      <c r="F98" s="7"/>
      <c r="G98" s="7"/>
      <c r="H98" s="14"/>
      <c r="I98" s="14"/>
      <c r="J98" s="14"/>
      <c r="K98" s="14"/>
      <c r="M98" s="9"/>
      <c r="O98" s="15"/>
      <c r="P98" s="15"/>
      <c r="Q98" s="15"/>
      <c r="R98" s="15"/>
      <c r="S98" s="15"/>
      <c r="T98" s="15"/>
    </row>
    <row r="99" spans="1:20">
      <c r="A99" s="3" t="s">
        <v>534</v>
      </c>
      <c r="B99" s="7"/>
      <c r="C99" s="7"/>
      <c r="D99" s="7"/>
      <c r="E99" s="7"/>
      <c r="F99" s="7"/>
      <c r="G99" s="7"/>
      <c r="H99" s="14"/>
      <c r="I99" s="14"/>
      <c r="J99" s="14"/>
      <c r="K99" s="14"/>
      <c r="M99" s="9"/>
      <c r="O99" s="15"/>
      <c r="P99" s="15"/>
      <c r="Q99" s="15"/>
      <c r="R99" s="15"/>
      <c r="S99" s="15"/>
      <c r="T99" s="15"/>
    </row>
    <row r="100" spans="1:20">
      <c r="B100" s="7"/>
      <c r="C100" s="7"/>
      <c r="D100" s="7"/>
      <c r="E100" s="7"/>
      <c r="F100" s="7"/>
      <c r="G100" s="7"/>
      <c r="H100" s="14"/>
      <c r="I100" s="14"/>
      <c r="J100" s="14"/>
      <c r="K100" s="14"/>
      <c r="M100" s="9"/>
      <c r="O100" s="15"/>
      <c r="P100" s="15"/>
      <c r="Q100" s="15"/>
      <c r="R100" s="15"/>
      <c r="S100" s="15"/>
      <c r="T100" s="15"/>
    </row>
    <row r="101" spans="1:20">
      <c r="B101" s="7"/>
      <c r="C101" s="7"/>
      <c r="D101" s="7"/>
      <c r="E101" s="7"/>
      <c r="F101" s="7"/>
      <c r="G101" s="7"/>
      <c r="H101" s="14"/>
      <c r="I101" s="14"/>
      <c r="J101" s="14"/>
      <c r="K101" s="14"/>
      <c r="M101" s="9"/>
    </row>
    <row r="102" spans="1:20">
      <c r="A102" s="182" t="s">
        <v>558</v>
      </c>
      <c r="M102" s="9"/>
    </row>
    <row r="103" spans="1:20">
      <c r="M103" s="9"/>
    </row>
    <row r="104" spans="1:20">
      <c r="A104" s="182" t="s">
        <v>559</v>
      </c>
      <c r="B104" s="7"/>
      <c r="C104" s="7"/>
      <c r="D104" s="7"/>
      <c r="E104" s="7"/>
      <c r="F104" s="7"/>
      <c r="G104" s="7"/>
      <c r="M104" s="9"/>
    </row>
    <row r="105" spans="1:20">
      <c r="A105" s="16" t="s">
        <v>560</v>
      </c>
      <c r="B105" s="17"/>
      <c r="C105" s="17"/>
      <c r="D105" s="17"/>
      <c r="E105" s="17"/>
      <c r="F105" s="17"/>
      <c r="G105" s="17"/>
      <c r="H105" s="18"/>
      <c r="I105" s="18"/>
      <c r="J105" s="18"/>
      <c r="K105" s="18"/>
      <c r="M105" s="9"/>
    </row>
    <row r="106" ht="16" spans="1:20">
      <c r="A106" s="16" t="s">
        <v>561</v>
      </c>
      <c r="B106" s="17"/>
      <c r="C106" s="17"/>
      <c r="D106" s="17"/>
      <c r="E106" s="17"/>
      <c r="F106" s="17"/>
      <c r="G106" s="17"/>
      <c r="H106" s="18"/>
      <c r="I106" s="18"/>
      <c r="J106" s="18"/>
      <c r="K106" s="18"/>
      <c r="M106" s="9"/>
    </row>
    <row r="107" spans="1:20">
      <c r="A107" s="182" t="s">
        <v>562</v>
      </c>
      <c r="B107" s="17"/>
      <c r="C107" s="17"/>
      <c r="D107" s="17"/>
      <c r="E107" s="17"/>
      <c r="F107" s="17"/>
      <c r="G107" s="17"/>
      <c r="H107" s="18"/>
      <c r="I107" s="18"/>
      <c r="J107" s="18"/>
      <c r="K107" s="18"/>
      <c r="M107" s="9"/>
    </row>
    <row r="108" spans="1:20">
      <c r="B108" s="17"/>
      <c r="C108" s="17"/>
      <c r="D108" s="17"/>
      <c r="E108" s="17"/>
      <c r="F108" s="17"/>
      <c r="G108" s="17"/>
      <c r="H108" s="18"/>
      <c r="I108" s="18"/>
      <c r="J108" s="18"/>
      <c r="K108" s="18"/>
      <c r="M108" s="9"/>
    </row>
    <row r="109" spans="1:20">
      <c r="A109" s="16" t="s">
        <v>563</v>
      </c>
      <c r="B109" s="17"/>
      <c r="C109" s="17"/>
      <c r="D109" s="17"/>
      <c r="E109" s="17"/>
      <c r="F109" s="17"/>
      <c r="G109" s="17"/>
      <c r="H109" s="18"/>
      <c r="I109" s="18"/>
      <c r="J109" s="18"/>
      <c r="K109" s="18"/>
      <c r="M109" s="9"/>
    </row>
    <row r="110" spans="1:20">
      <c r="B110" s="17"/>
      <c r="C110" s="17"/>
      <c r="D110" s="17"/>
      <c r="E110" s="17"/>
      <c r="F110" s="17"/>
      <c r="G110" s="17"/>
      <c r="H110" s="18"/>
      <c r="I110" s="18"/>
      <c r="J110" s="18"/>
      <c r="K110" s="18"/>
      <c r="M110" s="9"/>
    </row>
    <row r="111" spans="1:20">
      <c r="B111" s="17"/>
      <c r="C111" s="17"/>
      <c r="D111" s="17"/>
      <c r="E111" s="17"/>
      <c r="F111" s="17"/>
      <c r="G111" s="17"/>
      <c r="H111" s="18"/>
      <c r="I111" s="18"/>
      <c r="J111" s="18"/>
      <c r="K111" s="18"/>
      <c r="M111" s="9"/>
    </row>
    <row r="112" spans="1:20">
      <c r="B112" s="17"/>
      <c r="C112" s="17"/>
      <c r="D112" s="17"/>
      <c r="E112" s="17"/>
      <c r="F112" s="17"/>
      <c r="G112" s="17"/>
      <c r="H112" s="18"/>
      <c r="I112" s="18"/>
      <c r="J112" s="18"/>
      <c r="K112" s="18"/>
      <c r="M112" s="9"/>
    </row>
    <row r="113" spans="2:7">
      <c r="B113" s="17"/>
      <c r="C113" s="17"/>
      <c r="D113" s="17"/>
      <c r="E113" s="17"/>
      <c r="F113" s="17"/>
      <c r="G113" s="17"/>
    </row>
  </sheetData>
  <pageMargins left="0.75" right="0.75" top="1" bottom="1" header="0.5" footer="0.5"/>
  <pageSetup paperSize="9" scale="45"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Summary</vt:lpstr>
      <vt:lpstr>Chart</vt:lpstr>
      <vt:lpstr>Data Source</vt:lpstr>
      <vt:lpstr>Hong Kong trade finance lenders</vt:lpstr>
      <vt:lpstr>1.2</vt:lpstr>
      <vt:lpstr>3.4.1</vt:lpstr>
      <vt:lpstr>3.5.1</vt:lpstr>
      <vt:lpstr>3.13.1</vt:lpstr>
      <vt:lpstr>Economics Sectors(integrate)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 Jielin, Joyce</dc:creator>
  <cp:lastModifiedBy>KITLAM</cp:lastModifiedBy>
  <dcterms:created xsi:type="dcterms:W3CDTF">2026-09-29T13:58:00Z</dcterms:created>
  <dcterms:modified xsi:type="dcterms:W3CDTF">2026-10-01T16:01:02Z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71028191EF2FC0A1E80FBE6A34008166_42</vt:lpwstr>
  </property>
  <property fmtid="{D5CDD505-2E9C-101B-9397-08002B2CF9AE}" pid="3" name="KSOProductBuildVer">
    <vt:lpwstr>2052-12.1.28496.28496</vt:lpwstr>
  </property>
  <property fmtid="{D5CDD505-2E9C-101B-9397-08002B2CF9AE}" pid="4" name="CalculationRule">
    <vt:i4>0</vt:i4>
  </property>
</Properties>
</file>